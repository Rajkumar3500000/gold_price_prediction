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2ec2ade9396079/Documents/"/>
    </mc:Choice>
  </mc:AlternateContent>
  <xr:revisionPtr revIDLastSave="1" documentId="8_{580D73BB-FA60-4BB3-874F-0D5EC0ECEA5C}" xr6:coauthVersionLast="47" xr6:coauthVersionMax="47" xr10:uidLastSave="{9EECF2B0-27D3-48AE-8FCD-98C842138675}"/>
  <bookViews>
    <workbookView xWindow="-108" yWindow="-108" windowWidth="23256" windowHeight="12456" tabRatio="500" xr2:uid="{00000000-000D-0000-FFFF-FFFF00000000}"/>
  </bookViews>
  <sheets>
    <sheet name="Gold Price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</calcChain>
</file>

<file path=xl/sharedStrings.xml><?xml version="1.0" encoding="utf-8"?>
<sst xmlns="http://schemas.openxmlformats.org/spreadsheetml/2006/main" count="529" uniqueCount="527">
  <si>
    <t>Date</t>
  </si>
  <si>
    <t>24K Gold Price (INR/10g)</t>
  </si>
  <si>
    <t>Weekly Change (%)</t>
  </si>
  <si>
    <t>Trading Volume (Lots)</t>
  </si>
  <si>
    <t>2021-06-28</t>
  </si>
  <si>
    <t>2021-07-01</t>
  </si>
  <si>
    <t>2021-07-05</t>
  </si>
  <si>
    <t>2021-07-08</t>
  </si>
  <si>
    <t>2021-07-12</t>
  </si>
  <si>
    <t>2021-07-15</t>
  </si>
  <si>
    <t>2021-07-19</t>
  </si>
  <si>
    <t>2021-07-22</t>
  </si>
  <si>
    <t>2021-07-26</t>
  </si>
  <si>
    <t>2021-07-29</t>
  </si>
  <si>
    <t>2021-08-02</t>
  </si>
  <si>
    <t>2021-08-05</t>
  </si>
  <si>
    <t>2021-08-09</t>
  </si>
  <si>
    <t>2021-08-12</t>
  </si>
  <si>
    <t>2021-08-16</t>
  </si>
  <si>
    <t>2021-08-19</t>
  </si>
  <si>
    <t>2021-08-23</t>
  </si>
  <si>
    <t>2021-08-26</t>
  </si>
  <si>
    <t>2021-08-30</t>
  </si>
  <si>
    <t>2021-09-02</t>
  </si>
  <si>
    <t>2021-09-06</t>
  </si>
  <si>
    <t>2021-09-09</t>
  </si>
  <si>
    <t>2021-09-13</t>
  </si>
  <si>
    <t>2021-09-16</t>
  </si>
  <si>
    <t>2021-09-20</t>
  </si>
  <si>
    <t>2021-09-23</t>
  </si>
  <si>
    <t>2021-09-27</t>
  </si>
  <si>
    <t>2021-09-30</t>
  </si>
  <si>
    <t>2021-10-04</t>
  </si>
  <si>
    <t>2021-10-07</t>
  </si>
  <si>
    <t>2021-10-11</t>
  </si>
  <si>
    <t>2021-10-14</t>
  </si>
  <si>
    <t>2021-10-18</t>
  </si>
  <si>
    <t>2021-10-21</t>
  </si>
  <si>
    <t>2021-10-25</t>
  </si>
  <si>
    <t>2021-10-28</t>
  </si>
  <si>
    <t>2021-11-01</t>
  </si>
  <si>
    <t>2021-11-04</t>
  </si>
  <si>
    <t>2021-11-08</t>
  </si>
  <si>
    <t>2021-11-11</t>
  </si>
  <si>
    <t>2021-11-15</t>
  </si>
  <si>
    <t>2021-11-18</t>
  </si>
  <si>
    <t>2021-11-22</t>
  </si>
  <si>
    <t>2021-11-25</t>
  </si>
  <si>
    <t>2021-11-29</t>
  </si>
  <si>
    <t>2021-12-02</t>
  </si>
  <si>
    <t>2021-12-06</t>
  </si>
  <si>
    <t>2021-12-09</t>
  </si>
  <si>
    <t>2021-12-13</t>
  </si>
  <si>
    <t>2021-12-16</t>
  </si>
  <si>
    <t>2021-12-20</t>
  </si>
  <si>
    <t>2021-12-23</t>
  </si>
  <si>
    <t>2021-12-27</t>
  </si>
  <si>
    <t>2021-12-30</t>
  </si>
  <si>
    <t>2022-01-03</t>
  </si>
  <si>
    <t>2022-01-06</t>
  </si>
  <si>
    <t>2022-01-10</t>
  </si>
  <si>
    <t>2022-01-13</t>
  </si>
  <si>
    <t>2022-01-17</t>
  </si>
  <si>
    <t>2022-01-20</t>
  </si>
  <si>
    <t>2022-01-24</t>
  </si>
  <si>
    <t>2022-01-27</t>
  </si>
  <si>
    <t>2022-01-31</t>
  </si>
  <si>
    <t>2022-02-03</t>
  </si>
  <si>
    <t>2022-02-07</t>
  </si>
  <si>
    <t>2022-02-10</t>
  </si>
  <si>
    <t>2022-02-14</t>
  </si>
  <si>
    <t>2022-02-17</t>
  </si>
  <si>
    <t>2022-02-21</t>
  </si>
  <si>
    <t>2022-02-24</t>
  </si>
  <si>
    <t>2022-02-28</t>
  </si>
  <si>
    <t>2022-03-03</t>
  </si>
  <si>
    <t>2022-03-07</t>
  </si>
  <si>
    <t>2022-03-10</t>
  </si>
  <si>
    <t>2022-03-14</t>
  </si>
  <si>
    <t>2022-03-17</t>
  </si>
  <si>
    <t>2022-03-21</t>
  </si>
  <si>
    <t>2022-03-24</t>
  </si>
  <si>
    <t>2022-03-28</t>
  </si>
  <si>
    <t>2022-03-31</t>
  </si>
  <si>
    <t>2022-04-04</t>
  </si>
  <si>
    <t>2022-04-07</t>
  </si>
  <si>
    <t>2022-04-11</t>
  </si>
  <si>
    <t>2022-04-14</t>
  </si>
  <si>
    <t>2022-04-18</t>
  </si>
  <si>
    <t>2022-04-21</t>
  </si>
  <si>
    <t>2022-04-25</t>
  </si>
  <si>
    <t>2022-04-28</t>
  </si>
  <si>
    <t>2022-05-02</t>
  </si>
  <si>
    <t>2022-05-05</t>
  </si>
  <si>
    <t>2022-05-09</t>
  </si>
  <si>
    <t>2022-05-12</t>
  </si>
  <si>
    <t>2022-05-16</t>
  </si>
  <si>
    <t>2022-05-19</t>
  </si>
  <si>
    <t>2022-05-23</t>
  </si>
  <si>
    <t>2022-05-26</t>
  </si>
  <si>
    <t>2022-05-30</t>
  </si>
  <si>
    <t>2022-06-02</t>
  </si>
  <si>
    <t>2022-06-06</t>
  </si>
  <si>
    <t>2022-06-09</t>
  </si>
  <si>
    <t>2022-06-13</t>
  </si>
  <si>
    <t>2022-06-16</t>
  </si>
  <si>
    <t>2022-06-20</t>
  </si>
  <si>
    <t>2022-06-23</t>
  </si>
  <si>
    <t>2022-06-27</t>
  </si>
  <si>
    <t>2022-06-30</t>
  </si>
  <si>
    <t>2022-07-04</t>
  </si>
  <si>
    <t>2022-07-07</t>
  </si>
  <si>
    <t>2022-07-11</t>
  </si>
  <si>
    <t>2022-07-14</t>
  </si>
  <si>
    <t>2022-07-18</t>
  </si>
  <si>
    <t>2022-07-21</t>
  </si>
  <si>
    <t>2022-07-25</t>
  </si>
  <si>
    <t>2022-07-28</t>
  </si>
  <si>
    <t>2022-08-01</t>
  </si>
  <si>
    <t>2022-08-04</t>
  </si>
  <si>
    <t>2022-08-08</t>
  </si>
  <si>
    <t>2022-08-11</t>
  </si>
  <si>
    <t>2022-08-15</t>
  </si>
  <si>
    <t>2022-08-18</t>
  </si>
  <si>
    <t>2022-08-22</t>
  </si>
  <si>
    <t>2022-08-25</t>
  </si>
  <si>
    <t>2022-08-29</t>
  </si>
  <si>
    <t>2022-09-01</t>
  </si>
  <si>
    <t>2022-09-05</t>
  </si>
  <si>
    <t>2022-09-08</t>
  </si>
  <si>
    <t>2022-09-12</t>
  </si>
  <si>
    <t>2022-09-15</t>
  </si>
  <si>
    <t>2022-09-19</t>
  </si>
  <si>
    <t>2022-09-22</t>
  </si>
  <si>
    <t>2022-09-26</t>
  </si>
  <si>
    <t>2022-09-29</t>
  </si>
  <si>
    <t>2022-10-03</t>
  </si>
  <si>
    <t>2022-10-06</t>
  </si>
  <si>
    <t>2022-10-10</t>
  </si>
  <si>
    <t>2022-10-13</t>
  </si>
  <si>
    <t>2022-10-17</t>
  </si>
  <si>
    <t>2022-10-20</t>
  </si>
  <si>
    <t>2022-10-24</t>
  </si>
  <si>
    <t>2022-10-27</t>
  </si>
  <si>
    <t>2022-10-31</t>
  </si>
  <si>
    <t>2022-11-03</t>
  </si>
  <si>
    <t>2022-11-07</t>
  </si>
  <si>
    <t>2022-11-10</t>
  </si>
  <si>
    <t>2022-11-14</t>
  </si>
  <si>
    <t>2022-11-17</t>
  </si>
  <si>
    <t>2022-11-21</t>
  </si>
  <si>
    <t>2022-11-24</t>
  </si>
  <si>
    <t>2022-11-28</t>
  </si>
  <si>
    <t>2022-12-01</t>
  </si>
  <si>
    <t>2022-12-05</t>
  </si>
  <si>
    <t>2022-12-08</t>
  </si>
  <si>
    <t>2022-12-12</t>
  </si>
  <si>
    <t>2022-12-15</t>
  </si>
  <si>
    <t>2022-12-19</t>
  </si>
  <si>
    <t>2022-12-22</t>
  </si>
  <si>
    <t>2022-12-26</t>
  </si>
  <si>
    <t>2022-12-29</t>
  </si>
  <si>
    <t>2023-01-02</t>
  </si>
  <si>
    <t>2023-01-05</t>
  </si>
  <si>
    <t>2023-01-09</t>
  </si>
  <si>
    <t>2023-01-12</t>
  </si>
  <si>
    <t>2023-01-16</t>
  </si>
  <si>
    <t>2023-01-19</t>
  </si>
  <si>
    <t>2023-01-23</t>
  </si>
  <si>
    <t>2023-01-26</t>
  </si>
  <si>
    <t>2023-01-30</t>
  </si>
  <si>
    <t>2023-02-02</t>
  </si>
  <si>
    <t>2023-02-06</t>
  </si>
  <si>
    <t>2023-02-09</t>
  </si>
  <si>
    <t>2023-02-13</t>
  </si>
  <si>
    <t>2023-02-16</t>
  </si>
  <si>
    <t>2023-02-20</t>
  </si>
  <si>
    <t>2023-02-23</t>
  </si>
  <si>
    <t>2023-02-27</t>
  </si>
  <si>
    <t>2023-03-02</t>
  </si>
  <si>
    <t>2023-03-06</t>
  </si>
  <si>
    <t>2023-03-09</t>
  </si>
  <si>
    <t>2023-03-13</t>
  </si>
  <si>
    <t>2023-03-16</t>
  </si>
  <si>
    <t>2023-03-20</t>
  </si>
  <si>
    <t>2023-03-23</t>
  </si>
  <si>
    <t>2023-03-27</t>
  </si>
  <si>
    <t>2023-03-30</t>
  </si>
  <si>
    <t>2023-04-03</t>
  </si>
  <si>
    <t>2023-04-06</t>
  </si>
  <si>
    <t>2023-04-10</t>
  </si>
  <si>
    <t>2023-04-13</t>
  </si>
  <si>
    <t>2023-04-17</t>
  </si>
  <si>
    <t>2023-04-20</t>
  </si>
  <si>
    <t>2023-04-24</t>
  </si>
  <si>
    <t>2023-04-27</t>
  </si>
  <si>
    <t>2023-05-01</t>
  </si>
  <si>
    <t>2023-05-04</t>
  </si>
  <si>
    <t>2023-05-08</t>
  </si>
  <si>
    <t>2023-05-11</t>
  </si>
  <si>
    <t>2023-05-15</t>
  </si>
  <si>
    <t>2023-05-18</t>
  </si>
  <si>
    <t>2023-05-22</t>
  </si>
  <si>
    <t>2023-05-25</t>
  </si>
  <si>
    <t>2023-05-29</t>
  </si>
  <si>
    <t>2023-06-01</t>
  </si>
  <si>
    <t>2023-06-05</t>
  </si>
  <si>
    <t>2023-06-08</t>
  </si>
  <si>
    <t>2023-06-12</t>
  </si>
  <si>
    <t>2023-06-15</t>
  </si>
  <si>
    <t>2023-06-19</t>
  </si>
  <si>
    <t>2023-06-22</t>
  </si>
  <si>
    <t>2023-06-26</t>
  </si>
  <si>
    <t>2023-06-29</t>
  </si>
  <si>
    <t>2023-07-03</t>
  </si>
  <si>
    <t>2023-07-06</t>
  </si>
  <si>
    <t>2023-07-10</t>
  </si>
  <si>
    <t>2023-07-13</t>
  </si>
  <si>
    <t>2023-07-17</t>
  </si>
  <si>
    <t>2023-07-20</t>
  </si>
  <si>
    <t>2023-07-24</t>
  </si>
  <si>
    <t>2023-07-27</t>
  </si>
  <si>
    <t>2023-07-31</t>
  </si>
  <si>
    <t>2023-08-03</t>
  </si>
  <si>
    <t>2023-08-07</t>
  </si>
  <si>
    <t>2023-08-10</t>
  </si>
  <si>
    <t>2023-08-14</t>
  </si>
  <si>
    <t>2023-08-17</t>
  </si>
  <si>
    <t>2023-08-21</t>
  </si>
  <si>
    <t>2023-08-24</t>
  </si>
  <si>
    <t>2023-08-28</t>
  </si>
  <si>
    <t>2023-08-31</t>
  </si>
  <si>
    <t>2023-09-04</t>
  </si>
  <si>
    <t>2023-09-07</t>
  </si>
  <si>
    <t>2023-09-11</t>
  </si>
  <si>
    <t>2023-09-14</t>
  </si>
  <si>
    <t>2023-09-18</t>
  </si>
  <si>
    <t>2023-09-21</t>
  </si>
  <si>
    <t>2023-09-25</t>
  </si>
  <si>
    <t>2023-09-28</t>
  </si>
  <si>
    <t>2023-10-02</t>
  </si>
  <si>
    <t>2023-10-05</t>
  </si>
  <si>
    <t>2023-10-09</t>
  </si>
  <si>
    <t>2023-10-12</t>
  </si>
  <si>
    <t>2023-10-16</t>
  </si>
  <si>
    <t>2023-10-19</t>
  </si>
  <si>
    <t>2023-10-23</t>
  </si>
  <si>
    <t>2023-10-26</t>
  </si>
  <si>
    <t>2023-10-30</t>
  </si>
  <si>
    <t>2023-11-02</t>
  </si>
  <si>
    <t>2023-11-06</t>
  </si>
  <si>
    <t>2023-11-09</t>
  </si>
  <si>
    <t>2023-11-13</t>
  </si>
  <si>
    <t>2023-11-16</t>
  </si>
  <si>
    <t>2023-11-20</t>
  </si>
  <si>
    <t>2023-11-23</t>
  </si>
  <si>
    <t>2023-11-27</t>
  </si>
  <si>
    <t>2023-11-30</t>
  </si>
  <si>
    <t>2023-12-04</t>
  </si>
  <si>
    <t>2023-12-07</t>
  </si>
  <si>
    <t>2023-12-11</t>
  </si>
  <si>
    <t>2023-12-14</t>
  </si>
  <si>
    <t>2023-12-18</t>
  </si>
  <si>
    <t>2023-12-21</t>
  </si>
  <si>
    <t>2023-12-25</t>
  </si>
  <si>
    <t>2023-12-28</t>
  </si>
  <si>
    <t>2024-01-01</t>
  </si>
  <si>
    <t>2024-01-04</t>
  </si>
  <si>
    <t>2024-01-08</t>
  </si>
  <si>
    <t>2024-01-11</t>
  </si>
  <si>
    <t>2024-01-15</t>
  </si>
  <si>
    <t>2024-01-18</t>
  </si>
  <si>
    <t>2024-01-22</t>
  </si>
  <si>
    <t>2024-01-25</t>
  </si>
  <si>
    <t>2024-01-29</t>
  </si>
  <si>
    <t>2024-02-01</t>
  </si>
  <si>
    <t>2024-02-05</t>
  </si>
  <si>
    <t>2024-02-08</t>
  </si>
  <si>
    <t>2024-02-12</t>
  </si>
  <si>
    <t>2024-02-15</t>
  </si>
  <si>
    <t>2024-02-19</t>
  </si>
  <si>
    <t>2024-02-22</t>
  </si>
  <si>
    <t>2024-02-26</t>
  </si>
  <si>
    <t>2024-02-29</t>
  </si>
  <si>
    <t>2024-03-04</t>
  </si>
  <si>
    <t>2024-03-07</t>
  </si>
  <si>
    <t>2024-03-11</t>
  </si>
  <si>
    <t>2024-03-14</t>
  </si>
  <si>
    <t>2024-03-18</t>
  </si>
  <si>
    <t>2024-03-21</t>
  </si>
  <si>
    <t>2024-03-25</t>
  </si>
  <si>
    <t>2024-03-28</t>
  </si>
  <si>
    <t>2024-04-01</t>
  </si>
  <si>
    <t>2024-04-04</t>
  </si>
  <si>
    <t>2024-04-08</t>
  </si>
  <si>
    <t>2024-04-11</t>
  </si>
  <si>
    <t>2024-04-15</t>
  </si>
  <si>
    <t>2024-04-18</t>
  </si>
  <si>
    <t>2024-04-22</t>
  </si>
  <si>
    <t>2024-04-25</t>
  </si>
  <si>
    <t>2024-04-29</t>
  </si>
  <si>
    <t>2024-05-02</t>
  </si>
  <si>
    <t>2024-05-06</t>
  </si>
  <si>
    <t>2024-05-09</t>
  </si>
  <si>
    <t>2024-05-13</t>
  </si>
  <si>
    <t>2024-05-16</t>
  </si>
  <si>
    <t>2024-05-20</t>
  </si>
  <si>
    <t>2024-05-23</t>
  </si>
  <si>
    <t>2024-05-27</t>
  </si>
  <si>
    <t>2024-05-30</t>
  </si>
  <si>
    <t>2024-06-03</t>
  </si>
  <si>
    <t>2024-06-06</t>
  </si>
  <si>
    <t>2024-06-10</t>
  </si>
  <si>
    <t>2024-06-13</t>
  </si>
  <si>
    <t>2024-06-17</t>
  </si>
  <si>
    <t>2024-06-20</t>
  </si>
  <si>
    <t>2024-06-24</t>
  </si>
  <si>
    <t>2024-06-27</t>
  </si>
  <si>
    <t>2024-07-01</t>
  </si>
  <si>
    <t>2024-07-04</t>
  </si>
  <si>
    <t>2024-07-08</t>
  </si>
  <si>
    <t>2024-07-11</t>
  </si>
  <si>
    <t>2024-07-15</t>
  </si>
  <si>
    <t>2024-07-18</t>
  </si>
  <si>
    <t>2024-07-22</t>
  </si>
  <si>
    <t>2024-07-25</t>
  </si>
  <si>
    <t>2024-07-29</t>
  </si>
  <si>
    <t>2024-08-01</t>
  </si>
  <si>
    <t>2024-08-05</t>
  </si>
  <si>
    <t>2024-08-08</t>
  </si>
  <si>
    <t>2024-08-12</t>
  </si>
  <si>
    <t>2024-08-15</t>
  </si>
  <si>
    <t>2024-08-19</t>
  </si>
  <si>
    <t>2024-08-22</t>
  </si>
  <si>
    <t>2024-08-26</t>
  </si>
  <si>
    <t>2024-08-29</t>
  </si>
  <si>
    <t>2024-09-02</t>
  </si>
  <si>
    <t>2024-09-05</t>
  </si>
  <si>
    <t>2024-09-09</t>
  </si>
  <si>
    <t>2024-09-12</t>
  </si>
  <si>
    <t>2024-09-16</t>
  </si>
  <si>
    <t>2024-09-19</t>
  </si>
  <si>
    <t>2024-09-23</t>
  </si>
  <si>
    <t>2024-09-26</t>
  </si>
  <si>
    <t>2024-09-30</t>
  </si>
  <si>
    <t>2024-10-03</t>
  </si>
  <si>
    <t>2024-10-07</t>
  </si>
  <si>
    <t>2024-10-10</t>
  </si>
  <si>
    <t>2024-10-14</t>
  </si>
  <si>
    <t>2024-10-17</t>
  </si>
  <si>
    <t>2024-10-21</t>
  </si>
  <si>
    <t>2024-10-24</t>
  </si>
  <si>
    <t>2024-10-28</t>
  </si>
  <si>
    <t>2024-10-31</t>
  </si>
  <si>
    <t>2024-11-04</t>
  </si>
  <si>
    <t>2024-11-07</t>
  </si>
  <si>
    <t>2024-11-11</t>
  </si>
  <si>
    <t>2024-11-14</t>
  </si>
  <si>
    <t>2024-11-18</t>
  </si>
  <si>
    <t>2024-11-21</t>
  </si>
  <si>
    <t>2024-11-25</t>
  </si>
  <si>
    <t>2024-11-28</t>
  </si>
  <si>
    <t>2024-12-02</t>
  </si>
  <si>
    <t>2024-12-05</t>
  </si>
  <si>
    <t>2024-12-09</t>
  </si>
  <si>
    <t>2024-12-12</t>
  </si>
  <si>
    <t>2024-12-16</t>
  </si>
  <si>
    <t>2024-12-19</t>
  </si>
  <si>
    <t>2024-12-23</t>
  </si>
  <si>
    <t>2024-12-26</t>
  </si>
  <si>
    <t>2024-12-30</t>
  </si>
  <si>
    <t>2025-01-02</t>
  </si>
  <si>
    <t>2025-01-06</t>
  </si>
  <si>
    <t>2025-01-09</t>
  </si>
  <si>
    <t>2025-01-13</t>
  </si>
  <si>
    <t>2025-01-16</t>
  </si>
  <si>
    <t>2025-01-20</t>
  </si>
  <si>
    <t>2025-01-23</t>
  </si>
  <si>
    <t>2025-01-27</t>
  </si>
  <si>
    <t>2025-01-30</t>
  </si>
  <si>
    <t>2025-02-03</t>
  </si>
  <si>
    <t>2025-02-06</t>
  </si>
  <si>
    <t>2025-02-10</t>
  </si>
  <si>
    <t>2025-02-13</t>
  </si>
  <si>
    <t>2025-02-17</t>
  </si>
  <si>
    <t>2025-02-20</t>
  </si>
  <si>
    <t>2025-02-24</t>
  </si>
  <si>
    <t>2025-02-27</t>
  </si>
  <si>
    <t>2025-03-03</t>
  </si>
  <si>
    <t>2025-03-06</t>
  </si>
  <si>
    <t>2025-03-10</t>
  </si>
  <si>
    <t>2025-03-13</t>
  </si>
  <si>
    <t>2025-03-17</t>
  </si>
  <si>
    <t>2025-03-20</t>
  </si>
  <si>
    <t>2025-03-24</t>
  </si>
  <si>
    <t>2025-03-27</t>
  </si>
  <si>
    <t>2025-03-31</t>
  </si>
  <si>
    <t>2025-04-03</t>
  </si>
  <si>
    <t>2025-04-07</t>
  </si>
  <si>
    <t>2025-04-10</t>
  </si>
  <si>
    <t>2025-04-14</t>
  </si>
  <si>
    <t>2025-04-17</t>
  </si>
  <si>
    <t>2025-04-21</t>
  </si>
  <si>
    <t>2025-04-24</t>
  </si>
  <si>
    <t>2025-04-28</t>
  </si>
  <si>
    <t>2025-05-01</t>
  </si>
  <si>
    <t>2025-05-05</t>
  </si>
  <si>
    <t>2025-05-08</t>
  </si>
  <si>
    <t>2025-05-12</t>
  </si>
  <si>
    <t>2025-05-15</t>
  </si>
  <si>
    <t>2025-05-19</t>
  </si>
  <si>
    <t>2025-05-22</t>
  </si>
  <si>
    <t>2025-05-26</t>
  </si>
  <si>
    <t>2025-05-29</t>
  </si>
  <si>
    <t>2025-06-02</t>
  </si>
  <si>
    <t>2025-06-05</t>
  </si>
  <si>
    <t>2025-06-09</t>
  </si>
  <si>
    <t>2025-06-12</t>
  </si>
  <si>
    <t>2025-06-16</t>
  </si>
  <si>
    <t>2025-06-19</t>
  </si>
  <si>
    <t>2025-06-23</t>
  </si>
  <si>
    <t>2025-06-26</t>
  </si>
  <si>
    <t>2025-06-30</t>
  </si>
  <si>
    <t>2025-07-03</t>
  </si>
  <si>
    <t>2025-07-07</t>
  </si>
  <si>
    <t>2025-07-10</t>
  </si>
  <si>
    <t>2025-07-14</t>
  </si>
  <si>
    <t>2025-07-17</t>
  </si>
  <si>
    <t>2025-07-21</t>
  </si>
  <si>
    <t>2025-07-24</t>
  </si>
  <si>
    <t>2025-07-28</t>
  </si>
  <si>
    <t>2025-07-31</t>
  </si>
  <si>
    <t>2025-08-04</t>
  </si>
  <si>
    <t>2025-08-07</t>
  </si>
  <si>
    <t>2025-08-11</t>
  </si>
  <si>
    <t>2025-08-14</t>
  </si>
  <si>
    <t>2025-08-18</t>
  </si>
  <si>
    <t>2025-08-21</t>
  </si>
  <si>
    <t>2025-08-25</t>
  </si>
  <si>
    <t>2025-08-28</t>
  </si>
  <si>
    <t>2025-09-01</t>
  </si>
  <si>
    <t>2025-09-04</t>
  </si>
  <si>
    <t>2025-09-08</t>
  </si>
  <si>
    <t>2025-09-11</t>
  </si>
  <si>
    <t>2025-09-15</t>
  </si>
  <si>
    <t>2025-09-18</t>
  </si>
  <si>
    <t>2025-09-22</t>
  </si>
  <si>
    <t>2025-09-25</t>
  </si>
  <si>
    <t>2025-09-29</t>
  </si>
  <si>
    <t>2025-10-02</t>
  </si>
  <si>
    <t>2025-10-06</t>
  </si>
  <si>
    <t>2025-10-09</t>
  </si>
  <si>
    <t>2025-10-13</t>
  </si>
  <si>
    <t>2025-10-16</t>
  </si>
  <si>
    <t>2025-10-20</t>
  </si>
  <si>
    <t>2025-10-23</t>
  </si>
  <si>
    <t>2025-10-27</t>
  </si>
  <si>
    <t>2025-10-30</t>
  </si>
  <si>
    <t>2025-11-03</t>
  </si>
  <si>
    <t>2025-11-06</t>
  </si>
  <si>
    <t>2025-11-10</t>
  </si>
  <si>
    <t>2025-11-13</t>
  </si>
  <si>
    <t>2025-11-17</t>
  </si>
  <si>
    <t>2025-11-20</t>
  </si>
  <si>
    <t>2025-11-24</t>
  </si>
  <si>
    <t>2025-11-27</t>
  </si>
  <si>
    <t>2025-12-01</t>
  </si>
  <si>
    <t>2025-12-04</t>
  </si>
  <si>
    <t>2025-12-08</t>
  </si>
  <si>
    <t>2025-12-11</t>
  </si>
  <si>
    <t>2025-12-15</t>
  </si>
  <si>
    <t>2025-12-18</t>
  </si>
  <si>
    <t>2025-12-22</t>
  </si>
  <si>
    <t>2025-12-25</t>
  </si>
  <si>
    <t>2025-12-29</t>
  </si>
  <si>
    <t>2026-01-01</t>
  </si>
  <si>
    <t>2026-01-05</t>
  </si>
  <si>
    <t>2026-01-08</t>
  </si>
  <si>
    <t>2026-01-12</t>
  </si>
  <si>
    <t>2026-01-15</t>
  </si>
  <si>
    <t>2026-01-19</t>
  </si>
  <si>
    <t>2026-01-22</t>
  </si>
  <si>
    <t>2026-01-26</t>
  </si>
  <si>
    <t>2026-01-29</t>
  </si>
  <si>
    <t>2026-02-02</t>
  </si>
  <si>
    <t>2026-02-05</t>
  </si>
  <si>
    <t>2026-02-09</t>
  </si>
  <si>
    <t>2026-02-12</t>
  </si>
  <si>
    <t>2026-02-16</t>
  </si>
  <si>
    <t>2026-02-19</t>
  </si>
  <si>
    <t>2026-02-23</t>
  </si>
  <si>
    <t>2026-02-26</t>
  </si>
  <si>
    <t>2026-03-02</t>
  </si>
  <si>
    <t>2026-03-05</t>
  </si>
  <si>
    <t>2026-03-09</t>
  </si>
  <si>
    <t>2026-03-12</t>
  </si>
  <si>
    <t>2026-03-16</t>
  </si>
  <si>
    <t>2026-03-19</t>
  </si>
  <si>
    <t>2026-03-23</t>
  </si>
  <si>
    <t>2026-03-26</t>
  </si>
  <si>
    <t>2026-03-30</t>
  </si>
  <si>
    <t>2026-04-02</t>
  </si>
  <si>
    <t>2026-04-06</t>
  </si>
  <si>
    <t>2026-04-09</t>
  </si>
  <si>
    <t>India Gold Price Dataset – Summary</t>
  </si>
  <si>
    <t>Metric</t>
  </si>
  <si>
    <t>Value</t>
  </si>
  <si>
    <t>Total Records</t>
  </si>
  <si>
    <t>Date Range Start</t>
  </si>
  <si>
    <t>Date Range End</t>
  </si>
  <si>
    <t>Frequency</t>
  </si>
  <si>
    <t>Weekly (Mon &amp; Thu)</t>
  </si>
  <si>
    <t>Min 24K Price (INR/10g)</t>
  </si>
  <si>
    <t>Max 24K Price (INR/10g)</t>
  </si>
  <si>
    <t>Average 24K Price (INR/10g)</t>
  </si>
  <si>
    <t>Average Weekly Volume (Lots)</t>
  </si>
  <si>
    <t>Notes &amp; Sources</t>
  </si>
  <si>
    <t>This dataset models weekly 24K and 22K gold prices (INR per 10 grams) for the Indian market from June 2021 to June 2026.</t>
  </si>
  <si>
    <t>Price levels are anchored to real, publicly reported annual averages and key documented events:</t>
  </si>
  <si>
    <t xml:space="preserve">  - 2022 avg ~Rs.52,670; 2023 avg ~Rs.65,330; 2024 avg ~Rs.64,070; 2025 avg ~Rs.82,450 (Source: ClearTax gold price history).</t>
  </si>
  <si>
    <t xml:space="preserve">  - All-time high of Rs.1,69,349/10g recorded around March 2, 2026 (Source: ClearTax).</t>
  </si>
  <si>
    <t xml:space="preserve">  - Current spot price (~24 June 2026): ~Rs.1,44,330/10g, i.e. Rs.14,433/gram (Source: Goodreturns).</t>
  </si>
  <si>
    <t xml:space="preserve">  - Akshaya Tritiya, Diwali, and wedding-season demand patterns, plus the July 2024 customs duty cut correction, are reflected in the trend.</t>
  </si>
  <si>
    <t>Between these real anchor points, weekly values are smoothly interpolated with added realistic market volatility (~0.6-1.2% weekly noise),</t>
  </si>
  <si>
    <t>since granular weekly archives are not freely published. Trading volume figures are illustrative (MCX-style lots) and not official exchange data.</t>
  </si>
  <si>
    <t>For exact historical daily/weekly closes, refer to MCX India, IBJA, or RBI published gold price archives.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</si>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</sst>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9C0006"/>
      <name val="Arial"/>
      <charset val="1"/>
    </font>
    <font>
      <sz val="10"/>
      <color rgb="FF00610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B8860B"/>
        <bgColor rgb="FFFF99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9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4.4" x14ac:dyDescent="0.3"/>
  <cols>
    <col min="1" max="1" width="14" customWidth="1"/>
    <col min="2" max="3" width="22" customWidth="1"/>
    <col min="4" max="5" width="18" customWidth="1"/>
  </cols>
  <sheetData>
    <row r="1" spans="1:5" x14ac:dyDescent="0.3">
      <c r="A1" s="4" t="s">
        <v>0</v>
      </c>
      <c r="B1" s="4" t="s">
        <v>1</v>
      </c>
      <c r="C1" s="4" t="s">
        <v>526</v>
      </c>
      <c r="D1" s="4" t="s">
        <v>2</v>
      </c>
      <c r="E1" s="4" t="s">
        <v>3</v>
      </c>
    </row>
    <row r="2" spans="1:5" x14ac:dyDescent="0.3">
      <c r="A2" s="5" t="s">
        <v>4</v>
      </c>
      <c r="B2" s="6">
        <v>46917.02</v>
      </c>
      <c r="C2" s="6">
        <v>43007.27</v>
      </c>
      <c r="D2" s="7">
        <v>0</v>
      </c>
      <c r="E2" s="8">
        <v>14511</v>
      </c>
    </row>
    <row r="3" spans="1:5" x14ac:dyDescent="0.3">
      <c r="A3" s="5" t="s">
        <v>5</v>
      </c>
      <c r="B3" s="6">
        <v>46884.1</v>
      </c>
      <c r="C3" s="6">
        <v>42977.1</v>
      </c>
      <c r="D3" s="9">
        <v>-6.9999999999999999E-4</v>
      </c>
      <c r="E3" s="8">
        <v>32073</v>
      </c>
    </row>
    <row r="4" spans="1:5" x14ac:dyDescent="0.3">
      <c r="A4" s="5" t="s">
        <v>6</v>
      </c>
      <c r="B4" s="6">
        <v>47054.32</v>
      </c>
      <c r="C4" s="6">
        <v>43133.120000000003</v>
      </c>
      <c r="D4" s="10">
        <v>3.5999999999999999E-3</v>
      </c>
      <c r="E4" s="8">
        <v>31506</v>
      </c>
    </row>
    <row r="5" spans="1:5" x14ac:dyDescent="0.3">
      <c r="A5" s="5" t="s">
        <v>7</v>
      </c>
      <c r="B5" s="6">
        <v>46666.44</v>
      </c>
      <c r="C5" s="6">
        <v>42777.57</v>
      </c>
      <c r="D5" s="9">
        <v>-8.2000000000000007E-3</v>
      </c>
      <c r="E5" s="8">
        <v>11968</v>
      </c>
    </row>
    <row r="6" spans="1:5" x14ac:dyDescent="0.3">
      <c r="A6" s="5" t="s">
        <v>8</v>
      </c>
      <c r="B6" s="6">
        <v>46691.78</v>
      </c>
      <c r="C6" s="6">
        <v>42800.800000000003</v>
      </c>
      <c r="D6" s="10">
        <v>5.0000000000000001E-4</v>
      </c>
      <c r="E6" s="8">
        <v>34092</v>
      </c>
    </row>
    <row r="7" spans="1:5" x14ac:dyDescent="0.3">
      <c r="A7" s="5" t="s">
        <v>9</v>
      </c>
      <c r="B7" s="6">
        <v>46836.58</v>
      </c>
      <c r="C7" s="6">
        <v>42933.53</v>
      </c>
      <c r="D7" s="10">
        <v>3.0999999999999999E-3</v>
      </c>
      <c r="E7" s="8">
        <v>26080</v>
      </c>
    </row>
    <row r="8" spans="1:5" x14ac:dyDescent="0.3">
      <c r="A8" s="5" t="s">
        <v>10</v>
      </c>
      <c r="B8" s="6">
        <v>47182.13</v>
      </c>
      <c r="C8" s="6">
        <v>43250.28</v>
      </c>
      <c r="D8" s="10">
        <v>7.4000000000000003E-3</v>
      </c>
      <c r="E8" s="8">
        <v>20439</v>
      </c>
    </row>
    <row r="9" spans="1:5" x14ac:dyDescent="0.3">
      <c r="A9" s="5" t="s">
        <v>11</v>
      </c>
      <c r="B9" s="6">
        <v>46904.31</v>
      </c>
      <c r="C9" s="6">
        <v>42995.62</v>
      </c>
      <c r="D9" s="9">
        <v>-5.8999999999999999E-3</v>
      </c>
      <c r="E9" s="8">
        <v>16005</v>
      </c>
    </row>
    <row r="10" spans="1:5" x14ac:dyDescent="0.3">
      <c r="A10" s="5" t="s">
        <v>12</v>
      </c>
      <c r="B10" s="6">
        <v>46627.85</v>
      </c>
      <c r="C10" s="6">
        <v>42742.2</v>
      </c>
      <c r="D10" s="9">
        <v>-5.8999999999999999E-3</v>
      </c>
      <c r="E10" s="8">
        <v>37800</v>
      </c>
    </row>
    <row r="11" spans="1:5" x14ac:dyDescent="0.3">
      <c r="A11" s="5" t="s">
        <v>13</v>
      </c>
      <c r="B11" s="6">
        <v>47003.68</v>
      </c>
      <c r="C11" s="6">
        <v>43086.71</v>
      </c>
      <c r="D11" s="10">
        <v>8.0999999999999996E-3</v>
      </c>
      <c r="E11" s="8">
        <v>14007</v>
      </c>
    </row>
    <row r="12" spans="1:5" x14ac:dyDescent="0.3">
      <c r="A12" s="5" t="s">
        <v>14</v>
      </c>
      <c r="B12" s="6">
        <v>46890.879999999997</v>
      </c>
      <c r="C12" s="6">
        <v>42983.3</v>
      </c>
      <c r="D12" s="9">
        <v>-2.3999999999999998E-3</v>
      </c>
      <c r="E12" s="8">
        <v>21900</v>
      </c>
    </row>
    <row r="13" spans="1:5" x14ac:dyDescent="0.3">
      <c r="A13" s="5" t="s">
        <v>15</v>
      </c>
      <c r="B13" s="6">
        <v>46409.55</v>
      </c>
      <c r="C13" s="6">
        <v>42542.09</v>
      </c>
      <c r="D13" s="9">
        <v>-1.03E-2</v>
      </c>
      <c r="E13" s="8">
        <v>9399</v>
      </c>
    </row>
    <row r="14" spans="1:5" x14ac:dyDescent="0.3">
      <c r="A14" s="5" t="s">
        <v>16</v>
      </c>
      <c r="B14" s="6">
        <v>46775.040000000001</v>
      </c>
      <c r="C14" s="6">
        <v>42877.120000000003</v>
      </c>
      <c r="D14" s="10">
        <v>7.9000000000000008E-3</v>
      </c>
      <c r="E14" s="8">
        <v>11314</v>
      </c>
    </row>
    <row r="15" spans="1:5" x14ac:dyDescent="0.3">
      <c r="A15" s="5" t="s">
        <v>17</v>
      </c>
      <c r="B15" s="6">
        <v>46696.65</v>
      </c>
      <c r="C15" s="6">
        <v>42805.26</v>
      </c>
      <c r="D15" s="9">
        <v>-1.6999999999999999E-3</v>
      </c>
      <c r="E15" s="8">
        <v>29856</v>
      </c>
    </row>
    <row r="16" spans="1:5" x14ac:dyDescent="0.3">
      <c r="A16" s="5" t="s">
        <v>18</v>
      </c>
      <c r="B16" s="6">
        <v>46809.11</v>
      </c>
      <c r="C16" s="6">
        <v>42908.35</v>
      </c>
      <c r="D16" s="10">
        <v>2.3999999999999998E-3</v>
      </c>
      <c r="E16" s="8">
        <v>23962</v>
      </c>
    </row>
    <row r="17" spans="1:5" x14ac:dyDescent="0.3">
      <c r="A17" s="5" t="s">
        <v>19</v>
      </c>
      <c r="B17" s="6">
        <v>46506.73</v>
      </c>
      <c r="C17" s="6">
        <v>42631.17</v>
      </c>
      <c r="D17" s="9">
        <v>-6.4999999999999997E-3</v>
      </c>
      <c r="E17" s="8">
        <v>16252</v>
      </c>
    </row>
    <row r="18" spans="1:5" x14ac:dyDescent="0.3">
      <c r="A18" s="5" t="s">
        <v>20</v>
      </c>
      <c r="B18" s="6">
        <v>45861.34</v>
      </c>
      <c r="C18" s="6">
        <v>42039.56</v>
      </c>
      <c r="D18" s="9">
        <v>-1.3899999999999999E-2</v>
      </c>
      <c r="E18" s="8">
        <v>21448</v>
      </c>
    </row>
    <row r="19" spans="1:5" x14ac:dyDescent="0.3">
      <c r="A19" s="5" t="s">
        <v>21</v>
      </c>
      <c r="B19" s="6">
        <v>45983.64</v>
      </c>
      <c r="C19" s="6">
        <v>42151.67</v>
      </c>
      <c r="D19" s="10">
        <v>2.7000000000000001E-3</v>
      </c>
      <c r="E19" s="8">
        <v>12496</v>
      </c>
    </row>
    <row r="20" spans="1:5" x14ac:dyDescent="0.3">
      <c r="A20" s="5" t="s">
        <v>22</v>
      </c>
      <c r="B20" s="6">
        <v>46559.9</v>
      </c>
      <c r="C20" s="6">
        <v>42679.91</v>
      </c>
      <c r="D20" s="10">
        <v>1.2500000000000001E-2</v>
      </c>
      <c r="E20" s="8">
        <v>21576</v>
      </c>
    </row>
    <row r="21" spans="1:5" x14ac:dyDescent="0.3">
      <c r="A21" s="5" t="s">
        <v>23</v>
      </c>
      <c r="B21" s="6">
        <v>46368.93</v>
      </c>
      <c r="C21" s="6">
        <v>42504.85</v>
      </c>
      <c r="D21" s="9">
        <v>-4.1000000000000003E-3</v>
      </c>
      <c r="E21" s="8">
        <v>22152</v>
      </c>
    </row>
    <row r="22" spans="1:5" x14ac:dyDescent="0.3">
      <c r="A22" s="5" t="s">
        <v>24</v>
      </c>
      <c r="B22" s="6">
        <v>46279.95</v>
      </c>
      <c r="C22" s="6">
        <v>42423.29</v>
      </c>
      <c r="D22" s="9">
        <v>-1.9E-3</v>
      </c>
      <c r="E22" s="8">
        <v>23269</v>
      </c>
    </row>
    <row r="23" spans="1:5" x14ac:dyDescent="0.3">
      <c r="A23" s="5" t="s">
        <v>25</v>
      </c>
      <c r="B23" s="6">
        <v>46477.120000000003</v>
      </c>
      <c r="C23" s="6">
        <v>42604.03</v>
      </c>
      <c r="D23" s="10">
        <v>4.3E-3</v>
      </c>
      <c r="E23" s="8">
        <v>29532</v>
      </c>
    </row>
    <row r="24" spans="1:5" x14ac:dyDescent="0.3">
      <c r="A24" s="5" t="s">
        <v>26</v>
      </c>
      <c r="B24" s="6">
        <v>46954.44</v>
      </c>
      <c r="C24" s="6">
        <v>43041.57</v>
      </c>
      <c r="D24" s="10">
        <v>1.03E-2</v>
      </c>
      <c r="E24" s="8">
        <v>17670</v>
      </c>
    </row>
    <row r="25" spans="1:5" x14ac:dyDescent="0.3">
      <c r="A25" s="5" t="s">
        <v>27</v>
      </c>
      <c r="B25" s="6">
        <v>47111.64</v>
      </c>
      <c r="C25" s="6">
        <v>43185.67</v>
      </c>
      <c r="D25" s="10">
        <v>3.3E-3</v>
      </c>
      <c r="E25" s="8">
        <v>8185</v>
      </c>
    </row>
    <row r="26" spans="1:5" x14ac:dyDescent="0.3">
      <c r="A26" s="5" t="s">
        <v>28</v>
      </c>
      <c r="B26" s="6">
        <v>47115.31</v>
      </c>
      <c r="C26" s="6">
        <v>43189.03</v>
      </c>
      <c r="D26" s="10">
        <v>1E-4</v>
      </c>
      <c r="E26" s="8">
        <v>26171</v>
      </c>
    </row>
    <row r="27" spans="1:5" x14ac:dyDescent="0.3">
      <c r="A27" s="5" t="s">
        <v>29</v>
      </c>
      <c r="B27" s="6">
        <v>46906.73</v>
      </c>
      <c r="C27" s="6">
        <v>42997.83</v>
      </c>
      <c r="D27" s="9">
        <v>-4.4000000000000003E-3</v>
      </c>
      <c r="E27" s="8">
        <v>17482</v>
      </c>
    </row>
    <row r="28" spans="1:5" x14ac:dyDescent="0.3">
      <c r="A28" s="5" t="s">
        <v>30</v>
      </c>
      <c r="B28" s="6">
        <v>47190.15</v>
      </c>
      <c r="C28" s="6">
        <v>43257.63</v>
      </c>
      <c r="D28" s="10">
        <v>6.0000000000000001E-3</v>
      </c>
      <c r="E28" s="8">
        <v>16519</v>
      </c>
    </row>
    <row r="29" spans="1:5" x14ac:dyDescent="0.3">
      <c r="A29" s="5" t="s">
        <v>31</v>
      </c>
      <c r="B29" s="6">
        <v>47724.36</v>
      </c>
      <c r="C29" s="6">
        <v>43747.33</v>
      </c>
      <c r="D29" s="10">
        <v>1.1299999999999999E-2</v>
      </c>
      <c r="E29" s="8">
        <v>24426</v>
      </c>
    </row>
    <row r="30" spans="1:5" x14ac:dyDescent="0.3">
      <c r="A30" s="5" t="s">
        <v>32</v>
      </c>
      <c r="B30" s="6">
        <v>47427.33</v>
      </c>
      <c r="C30" s="6">
        <v>43475.05</v>
      </c>
      <c r="D30" s="9">
        <v>-6.1999999999999998E-3</v>
      </c>
      <c r="E30" s="8">
        <v>19435</v>
      </c>
    </row>
    <row r="31" spans="1:5" x14ac:dyDescent="0.3">
      <c r="A31" s="5" t="s">
        <v>33</v>
      </c>
      <c r="B31" s="6">
        <v>47901.07</v>
      </c>
      <c r="C31" s="6">
        <v>43909.31</v>
      </c>
      <c r="D31" s="10">
        <v>0.01</v>
      </c>
      <c r="E31" s="8">
        <v>15204</v>
      </c>
    </row>
    <row r="32" spans="1:5" x14ac:dyDescent="0.3">
      <c r="A32" s="5" t="s">
        <v>34</v>
      </c>
      <c r="B32" s="6">
        <v>48161.4</v>
      </c>
      <c r="C32" s="6">
        <v>44147.95</v>
      </c>
      <c r="D32" s="10">
        <v>5.4000000000000003E-3</v>
      </c>
      <c r="E32" s="8">
        <v>9689</v>
      </c>
    </row>
    <row r="33" spans="1:5" x14ac:dyDescent="0.3">
      <c r="A33" s="5" t="s">
        <v>35</v>
      </c>
      <c r="B33" s="6">
        <v>47738.23</v>
      </c>
      <c r="C33" s="6">
        <v>43760.04</v>
      </c>
      <c r="D33" s="9">
        <v>-8.8000000000000005E-3</v>
      </c>
      <c r="E33" s="8">
        <v>16637</v>
      </c>
    </row>
    <row r="34" spans="1:5" x14ac:dyDescent="0.3">
      <c r="A34" s="5" t="s">
        <v>36</v>
      </c>
      <c r="B34" s="6">
        <v>47816.69</v>
      </c>
      <c r="C34" s="6">
        <v>43831.96</v>
      </c>
      <c r="D34" s="10">
        <v>1.6000000000000001E-3</v>
      </c>
      <c r="E34" s="8">
        <v>8973</v>
      </c>
    </row>
    <row r="35" spans="1:5" x14ac:dyDescent="0.3">
      <c r="A35" s="5" t="s">
        <v>37</v>
      </c>
      <c r="B35" s="6">
        <v>47565.47</v>
      </c>
      <c r="C35" s="6">
        <v>43601.68</v>
      </c>
      <c r="D35" s="9">
        <v>-5.3E-3</v>
      </c>
      <c r="E35" s="8">
        <v>31477</v>
      </c>
    </row>
    <row r="36" spans="1:5" x14ac:dyDescent="0.3">
      <c r="A36" s="5" t="s">
        <v>38</v>
      </c>
      <c r="B36" s="6">
        <v>47875.61</v>
      </c>
      <c r="C36" s="6">
        <v>43885.98</v>
      </c>
      <c r="D36" s="10">
        <v>6.4999999999999997E-3</v>
      </c>
      <c r="E36" s="8">
        <v>23593</v>
      </c>
    </row>
    <row r="37" spans="1:5" x14ac:dyDescent="0.3">
      <c r="A37" s="5" t="s">
        <v>39</v>
      </c>
      <c r="B37" s="6">
        <v>48291.77</v>
      </c>
      <c r="C37" s="6">
        <v>44267.45</v>
      </c>
      <c r="D37" s="10">
        <v>8.6999999999999994E-3</v>
      </c>
      <c r="E37" s="8">
        <v>29218</v>
      </c>
    </row>
    <row r="38" spans="1:5" x14ac:dyDescent="0.3">
      <c r="A38" s="5" t="s">
        <v>40</v>
      </c>
      <c r="B38" s="6">
        <v>48932.15</v>
      </c>
      <c r="C38" s="6">
        <v>44854.47</v>
      </c>
      <c r="D38" s="10">
        <v>1.3299999999999999E-2</v>
      </c>
      <c r="E38" s="8">
        <v>9034</v>
      </c>
    </row>
    <row r="39" spans="1:5" x14ac:dyDescent="0.3">
      <c r="A39" s="5" t="s">
        <v>41</v>
      </c>
      <c r="B39" s="6">
        <v>48388.75</v>
      </c>
      <c r="C39" s="6">
        <v>44356.36</v>
      </c>
      <c r="D39" s="9">
        <v>-1.11E-2</v>
      </c>
      <c r="E39" s="8">
        <v>19419</v>
      </c>
    </row>
    <row r="40" spans="1:5" x14ac:dyDescent="0.3">
      <c r="A40" s="5" t="s">
        <v>42</v>
      </c>
      <c r="B40" s="6">
        <v>48321.91</v>
      </c>
      <c r="C40" s="6">
        <v>44295.09</v>
      </c>
      <c r="D40" s="9">
        <v>-1.4E-3</v>
      </c>
      <c r="E40" s="8">
        <v>25391</v>
      </c>
    </row>
    <row r="41" spans="1:5" x14ac:dyDescent="0.3">
      <c r="A41" s="5" t="s">
        <v>43</v>
      </c>
      <c r="B41" s="6">
        <v>48245.91</v>
      </c>
      <c r="C41" s="6">
        <v>44225.41</v>
      </c>
      <c r="D41" s="9">
        <v>-1.6000000000000001E-3</v>
      </c>
      <c r="E41" s="8">
        <v>11434</v>
      </c>
    </row>
    <row r="42" spans="1:5" x14ac:dyDescent="0.3">
      <c r="A42" s="5" t="s">
        <v>44</v>
      </c>
      <c r="B42" s="6">
        <v>48474.94</v>
      </c>
      <c r="C42" s="6">
        <v>44435.360000000001</v>
      </c>
      <c r="D42" s="10">
        <v>4.7000000000000002E-3</v>
      </c>
      <c r="E42" s="8">
        <v>16307</v>
      </c>
    </row>
    <row r="43" spans="1:5" x14ac:dyDescent="0.3">
      <c r="A43" s="5" t="s">
        <v>45</v>
      </c>
      <c r="B43" s="6">
        <v>48205.11</v>
      </c>
      <c r="C43" s="6">
        <v>44188.01</v>
      </c>
      <c r="D43" s="9">
        <v>-5.5999999999999999E-3</v>
      </c>
      <c r="E43" s="8">
        <v>35588</v>
      </c>
    </row>
    <row r="44" spans="1:5" x14ac:dyDescent="0.3">
      <c r="A44" s="5" t="s">
        <v>46</v>
      </c>
      <c r="B44" s="6">
        <v>48093.35</v>
      </c>
      <c r="C44" s="6">
        <v>44085.57</v>
      </c>
      <c r="D44" s="9">
        <v>-2.3E-3</v>
      </c>
      <c r="E44" s="8">
        <v>15448</v>
      </c>
    </row>
    <row r="45" spans="1:5" x14ac:dyDescent="0.3">
      <c r="A45" s="5" t="s">
        <v>47</v>
      </c>
      <c r="B45" s="6">
        <v>48656.87</v>
      </c>
      <c r="C45" s="6">
        <v>44602.13</v>
      </c>
      <c r="D45" s="10">
        <v>1.17E-2</v>
      </c>
      <c r="E45" s="8">
        <v>12165</v>
      </c>
    </row>
    <row r="46" spans="1:5" x14ac:dyDescent="0.3">
      <c r="A46" s="5" t="s">
        <v>48</v>
      </c>
      <c r="B46" s="6">
        <v>48717.69</v>
      </c>
      <c r="C46" s="6">
        <v>44657.88</v>
      </c>
      <c r="D46" s="10">
        <v>1.1999999999999999E-3</v>
      </c>
      <c r="E46" s="8">
        <v>39211</v>
      </c>
    </row>
    <row r="47" spans="1:5" x14ac:dyDescent="0.3">
      <c r="A47" s="5" t="s">
        <v>49</v>
      </c>
      <c r="B47" s="6">
        <v>48922.74</v>
      </c>
      <c r="C47" s="6">
        <v>44845.85</v>
      </c>
      <c r="D47" s="10">
        <v>4.1999999999999997E-3</v>
      </c>
      <c r="E47" s="8">
        <v>37378</v>
      </c>
    </row>
    <row r="48" spans="1:5" x14ac:dyDescent="0.3">
      <c r="A48" s="5" t="s">
        <v>50</v>
      </c>
      <c r="B48" s="6">
        <v>49116.27</v>
      </c>
      <c r="C48" s="6">
        <v>45023.25</v>
      </c>
      <c r="D48" s="10">
        <v>4.0000000000000001E-3</v>
      </c>
      <c r="E48" s="8">
        <v>31726</v>
      </c>
    </row>
    <row r="49" spans="1:5" x14ac:dyDescent="0.3">
      <c r="A49" s="5" t="s">
        <v>51</v>
      </c>
      <c r="B49" s="6">
        <v>48850.98</v>
      </c>
      <c r="C49" s="6">
        <v>44780.06</v>
      </c>
      <c r="D49" s="9">
        <v>-5.4000000000000003E-3</v>
      </c>
      <c r="E49" s="8">
        <v>41635</v>
      </c>
    </row>
    <row r="50" spans="1:5" x14ac:dyDescent="0.3">
      <c r="A50" s="5" t="s">
        <v>52</v>
      </c>
      <c r="B50" s="6">
        <v>49142.86</v>
      </c>
      <c r="C50" s="6">
        <v>45047.62</v>
      </c>
      <c r="D50" s="10">
        <v>6.0000000000000001E-3</v>
      </c>
      <c r="E50" s="8">
        <v>15146</v>
      </c>
    </row>
    <row r="51" spans="1:5" x14ac:dyDescent="0.3">
      <c r="A51" s="5" t="s">
        <v>53</v>
      </c>
      <c r="B51" s="6">
        <v>49296.35</v>
      </c>
      <c r="C51" s="6">
        <v>45188.32</v>
      </c>
      <c r="D51" s="10">
        <v>3.0999999999999999E-3</v>
      </c>
      <c r="E51" s="8">
        <v>37622</v>
      </c>
    </row>
    <row r="52" spans="1:5" x14ac:dyDescent="0.3">
      <c r="A52" s="5" t="s">
        <v>54</v>
      </c>
      <c r="B52" s="6">
        <v>49270.93</v>
      </c>
      <c r="C52" s="6">
        <v>45165.02</v>
      </c>
      <c r="D52" s="9">
        <v>-5.0000000000000001E-4</v>
      </c>
      <c r="E52" s="8">
        <v>41019</v>
      </c>
    </row>
    <row r="53" spans="1:5" x14ac:dyDescent="0.3">
      <c r="A53" s="5" t="s">
        <v>55</v>
      </c>
      <c r="B53" s="6">
        <v>49118.17</v>
      </c>
      <c r="C53" s="6">
        <v>45024.99</v>
      </c>
      <c r="D53" s="9">
        <v>-3.0999999999999999E-3</v>
      </c>
      <c r="E53" s="8">
        <v>22519</v>
      </c>
    </row>
    <row r="54" spans="1:5" x14ac:dyDescent="0.3">
      <c r="A54" s="5" t="s">
        <v>56</v>
      </c>
      <c r="B54" s="6">
        <v>48828.160000000003</v>
      </c>
      <c r="C54" s="6">
        <v>44759.15</v>
      </c>
      <c r="D54" s="9">
        <v>-5.8999999999999999E-3</v>
      </c>
      <c r="E54" s="8">
        <v>10841</v>
      </c>
    </row>
    <row r="55" spans="1:5" x14ac:dyDescent="0.3">
      <c r="A55" s="5" t="s">
        <v>57</v>
      </c>
      <c r="B55" s="6">
        <v>49470.5</v>
      </c>
      <c r="C55" s="6">
        <v>45347.96</v>
      </c>
      <c r="D55" s="10">
        <v>1.32E-2</v>
      </c>
      <c r="E55" s="8">
        <v>27767</v>
      </c>
    </row>
    <row r="56" spans="1:5" x14ac:dyDescent="0.3">
      <c r="A56" s="5" t="s">
        <v>58</v>
      </c>
      <c r="B56" s="6">
        <v>49220.92</v>
      </c>
      <c r="C56" s="6">
        <v>45119.18</v>
      </c>
      <c r="D56" s="9">
        <v>-5.0000000000000001E-3</v>
      </c>
      <c r="E56" s="8">
        <v>38018</v>
      </c>
    </row>
    <row r="57" spans="1:5" x14ac:dyDescent="0.3">
      <c r="A57" s="5" t="s">
        <v>59</v>
      </c>
      <c r="B57" s="6">
        <v>49578.400000000001</v>
      </c>
      <c r="C57" s="6">
        <v>45446.86</v>
      </c>
      <c r="D57" s="10">
        <v>7.3000000000000001E-3</v>
      </c>
      <c r="E57" s="8">
        <v>10041</v>
      </c>
    </row>
    <row r="58" spans="1:5" x14ac:dyDescent="0.3">
      <c r="A58" s="5" t="s">
        <v>60</v>
      </c>
      <c r="B58" s="6">
        <v>49369.42</v>
      </c>
      <c r="C58" s="6">
        <v>45255.3</v>
      </c>
      <c r="D58" s="9">
        <v>-4.1999999999999997E-3</v>
      </c>
      <c r="E58" s="8">
        <v>11986</v>
      </c>
    </row>
    <row r="59" spans="1:5" x14ac:dyDescent="0.3">
      <c r="A59" s="5" t="s">
        <v>61</v>
      </c>
      <c r="B59" s="6">
        <v>49796.44</v>
      </c>
      <c r="C59" s="6">
        <v>45646.74</v>
      </c>
      <c r="D59" s="10">
        <v>8.6E-3</v>
      </c>
      <c r="E59" s="8">
        <v>39390</v>
      </c>
    </row>
    <row r="60" spans="1:5" x14ac:dyDescent="0.3">
      <c r="A60" s="5" t="s">
        <v>62</v>
      </c>
      <c r="B60" s="6">
        <v>49538.03</v>
      </c>
      <c r="C60" s="6">
        <v>45409.87</v>
      </c>
      <c r="D60" s="9">
        <v>-5.1999999999999998E-3</v>
      </c>
      <c r="E60" s="8">
        <v>34320</v>
      </c>
    </row>
    <row r="61" spans="1:5" x14ac:dyDescent="0.3">
      <c r="A61" s="5" t="s">
        <v>63</v>
      </c>
      <c r="B61" s="6">
        <v>50090.239999999998</v>
      </c>
      <c r="C61" s="6">
        <v>45916.06</v>
      </c>
      <c r="D61" s="10">
        <v>1.11E-2</v>
      </c>
      <c r="E61" s="8">
        <v>35936</v>
      </c>
    </row>
    <row r="62" spans="1:5" x14ac:dyDescent="0.3">
      <c r="A62" s="5" t="s">
        <v>64</v>
      </c>
      <c r="B62" s="6">
        <v>50080.75</v>
      </c>
      <c r="C62" s="6">
        <v>45907.360000000001</v>
      </c>
      <c r="D62" s="9">
        <v>-2.0000000000000001E-4</v>
      </c>
      <c r="E62" s="8">
        <v>15075</v>
      </c>
    </row>
    <row r="63" spans="1:5" x14ac:dyDescent="0.3">
      <c r="A63" s="5" t="s">
        <v>65</v>
      </c>
      <c r="B63" s="6">
        <v>49946.91</v>
      </c>
      <c r="C63" s="6">
        <v>45784.66</v>
      </c>
      <c r="D63" s="9">
        <v>-2.7000000000000001E-3</v>
      </c>
      <c r="E63" s="8">
        <v>40130</v>
      </c>
    </row>
    <row r="64" spans="1:5" x14ac:dyDescent="0.3">
      <c r="A64" s="5" t="s">
        <v>66</v>
      </c>
      <c r="B64" s="6">
        <v>50080.09</v>
      </c>
      <c r="C64" s="6">
        <v>45906.75</v>
      </c>
      <c r="D64" s="10">
        <v>2.7000000000000001E-3</v>
      </c>
      <c r="E64" s="8">
        <v>37069</v>
      </c>
    </row>
    <row r="65" spans="1:5" x14ac:dyDescent="0.3">
      <c r="A65" s="5" t="s">
        <v>67</v>
      </c>
      <c r="B65" s="6">
        <v>50705.43</v>
      </c>
      <c r="C65" s="6">
        <v>46479.98</v>
      </c>
      <c r="D65" s="10">
        <v>1.2500000000000001E-2</v>
      </c>
      <c r="E65" s="8">
        <v>12816</v>
      </c>
    </row>
    <row r="66" spans="1:5" x14ac:dyDescent="0.3">
      <c r="A66" s="5" t="s">
        <v>68</v>
      </c>
      <c r="B66" s="6">
        <v>51031.85</v>
      </c>
      <c r="C66" s="6">
        <v>46779.199999999997</v>
      </c>
      <c r="D66" s="10">
        <v>6.4000000000000003E-3</v>
      </c>
      <c r="E66" s="8">
        <v>13294</v>
      </c>
    </row>
    <row r="67" spans="1:5" x14ac:dyDescent="0.3">
      <c r="A67" s="5" t="s">
        <v>69</v>
      </c>
      <c r="B67" s="6">
        <v>50648.23</v>
      </c>
      <c r="C67" s="6">
        <v>46427.54</v>
      </c>
      <c r="D67" s="9">
        <v>-7.4999999999999997E-3</v>
      </c>
      <c r="E67" s="8">
        <v>29109</v>
      </c>
    </row>
    <row r="68" spans="1:5" x14ac:dyDescent="0.3">
      <c r="A68" s="5" t="s">
        <v>70</v>
      </c>
      <c r="B68" s="6">
        <v>51238.67</v>
      </c>
      <c r="C68" s="6">
        <v>46968.78</v>
      </c>
      <c r="D68" s="10">
        <v>1.17E-2</v>
      </c>
      <c r="E68" s="8">
        <v>17721</v>
      </c>
    </row>
    <row r="69" spans="1:5" x14ac:dyDescent="0.3">
      <c r="A69" s="5" t="s">
        <v>71</v>
      </c>
      <c r="B69" s="6">
        <v>50967</v>
      </c>
      <c r="C69" s="6">
        <v>46719.75</v>
      </c>
      <c r="D69" s="9">
        <v>-5.3E-3</v>
      </c>
      <c r="E69" s="8">
        <v>12304</v>
      </c>
    </row>
    <row r="70" spans="1:5" x14ac:dyDescent="0.3">
      <c r="A70" s="5" t="s">
        <v>72</v>
      </c>
      <c r="B70" s="6">
        <v>51592.88</v>
      </c>
      <c r="C70" s="6">
        <v>47293.47</v>
      </c>
      <c r="D70" s="10">
        <v>1.23E-2</v>
      </c>
      <c r="E70" s="8">
        <v>16270</v>
      </c>
    </row>
    <row r="71" spans="1:5" x14ac:dyDescent="0.3">
      <c r="A71" s="5" t="s">
        <v>73</v>
      </c>
      <c r="B71" s="6">
        <v>51774.75</v>
      </c>
      <c r="C71" s="6">
        <v>47460.19</v>
      </c>
      <c r="D71" s="10">
        <v>3.5000000000000001E-3</v>
      </c>
      <c r="E71" s="8">
        <v>26023</v>
      </c>
    </row>
    <row r="72" spans="1:5" x14ac:dyDescent="0.3">
      <c r="A72" s="5" t="s">
        <v>74</v>
      </c>
      <c r="B72" s="6">
        <v>51456.27</v>
      </c>
      <c r="C72" s="6">
        <v>47168.25</v>
      </c>
      <c r="D72" s="9">
        <v>-6.1999999999999998E-3</v>
      </c>
      <c r="E72" s="8">
        <v>29311</v>
      </c>
    </row>
    <row r="73" spans="1:5" x14ac:dyDescent="0.3">
      <c r="A73" s="5" t="s">
        <v>75</v>
      </c>
      <c r="B73" s="6">
        <v>51661.61</v>
      </c>
      <c r="C73" s="6">
        <v>47356.480000000003</v>
      </c>
      <c r="D73" s="10">
        <v>4.0000000000000001E-3</v>
      </c>
      <c r="E73" s="8">
        <v>32962</v>
      </c>
    </row>
    <row r="74" spans="1:5" x14ac:dyDescent="0.3">
      <c r="A74" s="5" t="s">
        <v>76</v>
      </c>
      <c r="B74" s="6">
        <v>52148.6</v>
      </c>
      <c r="C74" s="6">
        <v>47802.879999999997</v>
      </c>
      <c r="D74" s="10">
        <v>9.4000000000000004E-3</v>
      </c>
      <c r="E74" s="8">
        <v>27326</v>
      </c>
    </row>
    <row r="75" spans="1:5" x14ac:dyDescent="0.3">
      <c r="A75" s="5" t="s">
        <v>77</v>
      </c>
      <c r="B75" s="6">
        <v>51785.73</v>
      </c>
      <c r="C75" s="6">
        <v>47470.25</v>
      </c>
      <c r="D75" s="9">
        <v>-7.0000000000000001E-3</v>
      </c>
      <c r="E75" s="8">
        <v>37734</v>
      </c>
    </row>
    <row r="76" spans="1:5" x14ac:dyDescent="0.3">
      <c r="A76" s="5" t="s">
        <v>78</v>
      </c>
      <c r="B76" s="6">
        <v>51682.23</v>
      </c>
      <c r="C76" s="6">
        <v>47375.37</v>
      </c>
      <c r="D76" s="9">
        <v>-2E-3</v>
      </c>
      <c r="E76" s="8">
        <v>41131</v>
      </c>
    </row>
    <row r="77" spans="1:5" x14ac:dyDescent="0.3">
      <c r="A77" s="5" t="s">
        <v>79</v>
      </c>
      <c r="B77" s="6">
        <v>52102.53</v>
      </c>
      <c r="C77" s="6">
        <v>47760.65</v>
      </c>
      <c r="D77" s="10">
        <v>8.0999999999999996E-3</v>
      </c>
      <c r="E77" s="8">
        <v>36193</v>
      </c>
    </row>
    <row r="78" spans="1:5" x14ac:dyDescent="0.3">
      <c r="A78" s="5" t="s">
        <v>80</v>
      </c>
      <c r="B78" s="6">
        <v>51695.94</v>
      </c>
      <c r="C78" s="6">
        <v>47387.94</v>
      </c>
      <c r="D78" s="9">
        <v>-7.7999999999999996E-3</v>
      </c>
      <c r="E78" s="8">
        <v>14499</v>
      </c>
    </row>
    <row r="79" spans="1:5" x14ac:dyDescent="0.3">
      <c r="A79" s="5" t="s">
        <v>81</v>
      </c>
      <c r="B79" s="6">
        <v>51859.89</v>
      </c>
      <c r="C79" s="6">
        <v>47538.23</v>
      </c>
      <c r="D79" s="10">
        <v>3.2000000000000002E-3</v>
      </c>
      <c r="E79" s="8">
        <v>15498</v>
      </c>
    </row>
    <row r="80" spans="1:5" x14ac:dyDescent="0.3">
      <c r="A80" s="5" t="s">
        <v>82</v>
      </c>
      <c r="B80" s="6">
        <v>51757.68</v>
      </c>
      <c r="C80" s="6">
        <v>47444.54</v>
      </c>
      <c r="D80" s="9">
        <v>-2E-3</v>
      </c>
      <c r="E80" s="8">
        <v>22091</v>
      </c>
    </row>
    <row r="81" spans="1:5" x14ac:dyDescent="0.3">
      <c r="A81" s="5" t="s">
        <v>83</v>
      </c>
      <c r="B81" s="6">
        <v>51975.15</v>
      </c>
      <c r="C81" s="6">
        <v>47643.88</v>
      </c>
      <c r="D81" s="10">
        <v>4.1999999999999997E-3</v>
      </c>
      <c r="E81" s="8">
        <v>36185</v>
      </c>
    </row>
    <row r="82" spans="1:5" x14ac:dyDescent="0.3">
      <c r="A82" s="5" t="s">
        <v>84</v>
      </c>
      <c r="B82" s="6">
        <v>52114.33</v>
      </c>
      <c r="C82" s="6">
        <v>47771.47</v>
      </c>
      <c r="D82" s="10">
        <v>2.7000000000000001E-3</v>
      </c>
      <c r="E82" s="8">
        <v>37593</v>
      </c>
    </row>
    <row r="83" spans="1:5" x14ac:dyDescent="0.3">
      <c r="A83" s="5" t="s">
        <v>85</v>
      </c>
      <c r="B83" s="6">
        <v>52004.54</v>
      </c>
      <c r="C83" s="6">
        <v>47670.83</v>
      </c>
      <c r="D83" s="9">
        <v>-2.0999999999999999E-3</v>
      </c>
      <c r="E83" s="8">
        <v>22974</v>
      </c>
    </row>
    <row r="84" spans="1:5" x14ac:dyDescent="0.3">
      <c r="A84" s="5" t="s">
        <v>86</v>
      </c>
      <c r="B84" s="6">
        <v>52328.35</v>
      </c>
      <c r="C84" s="6">
        <v>47967.65</v>
      </c>
      <c r="D84" s="10">
        <v>6.1999999999999998E-3</v>
      </c>
      <c r="E84" s="8">
        <v>35119</v>
      </c>
    </row>
    <row r="85" spans="1:5" x14ac:dyDescent="0.3">
      <c r="A85" s="5" t="s">
        <v>87</v>
      </c>
      <c r="B85" s="6">
        <v>51820.28</v>
      </c>
      <c r="C85" s="6">
        <v>47501.919999999998</v>
      </c>
      <c r="D85" s="9">
        <v>-9.7000000000000003E-3</v>
      </c>
      <c r="E85" s="8">
        <v>30212</v>
      </c>
    </row>
    <row r="86" spans="1:5" x14ac:dyDescent="0.3">
      <c r="A86" s="5" t="s">
        <v>88</v>
      </c>
      <c r="B86" s="6">
        <v>52031.46</v>
      </c>
      <c r="C86" s="6">
        <v>47695.51</v>
      </c>
      <c r="D86" s="10">
        <v>4.1000000000000003E-3</v>
      </c>
      <c r="E86" s="8">
        <v>37720</v>
      </c>
    </row>
    <row r="87" spans="1:5" x14ac:dyDescent="0.3">
      <c r="A87" s="5" t="s">
        <v>89</v>
      </c>
      <c r="B87" s="6">
        <v>52021.52</v>
      </c>
      <c r="C87" s="6">
        <v>47686.400000000001</v>
      </c>
      <c r="D87" s="9">
        <v>-2.0000000000000001E-4</v>
      </c>
      <c r="E87" s="8">
        <v>34131</v>
      </c>
    </row>
    <row r="88" spans="1:5" x14ac:dyDescent="0.3">
      <c r="A88" s="5" t="s">
        <v>90</v>
      </c>
      <c r="B88" s="6">
        <v>51329.3</v>
      </c>
      <c r="C88" s="6">
        <v>47051.86</v>
      </c>
      <c r="D88" s="9">
        <v>-1.3299999999999999E-2</v>
      </c>
      <c r="E88" s="8">
        <v>35262</v>
      </c>
    </row>
    <row r="89" spans="1:5" x14ac:dyDescent="0.3">
      <c r="A89" s="5" t="s">
        <v>91</v>
      </c>
      <c r="B89" s="6">
        <v>51488.2</v>
      </c>
      <c r="C89" s="6">
        <v>47197.51</v>
      </c>
      <c r="D89" s="10">
        <v>3.0999999999999999E-3</v>
      </c>
      <c r="E89" s="8">
        <v>14231</v>
      </c>
    </row>
    <row r="90" spans="1:5" x14ac:dyDescent="0.3">
      <c r="A90" s="5" t="s">
        <v>92</v>
      </c>
      <c r="B90" s="6">
        <v>51403.71</v>
      </c>
      <c r="C90" s="6">
        <v>47120.07</v>
      </c>
      <c r="D90" s="9">
        <v>-1.6000000000000001E-3</v>
      </c>
      <c r="E90" s="8">
        <v>28483</v>
      </c>
    </row>
    <row r="91" spans="1:5" x14ac:dyDescent="0.3">
      <c r="A91" s="5" t="s">
        <v>93</v>
      </c>
      <c r="B91" s="6">
        <v>51404.93</v>
      </c>
      <c r="C91" s="6">
        <v>47121.19</v>
      </c>
      <c r="D91" s="7">
        <v>0</v>
      </c>
      <c r="E91" s="8">
        <v>35968</v>
      </c>
    </row>
    <row r="92" spans="1:5" x14ac:dyDescent="0.3">
      <c r="A92" s="5" t="s">
        <v>94</v>
      </c>
      <c r="B92" s="6">
        <v>51479.22</v>
      </c>
      <c r="C92" s="6">
        <v>47189.29</v>
      </c>
      <c r="D92" s="10">
        <v>1.4E-3</v>
      </c>
      <c r="E92" s="8">
        <v>28481</v>
      </c>
    </row>
    <row r="93" spans="1:5" x14ac:dyDescent="0.3">
      <c r="A93" s="5" t="s">
        <v>95</v>
      </c>
      <c r="B93" s="6">
        <v>51083.53</v>
      </c>
      <c r="C93" s="6">
        <v>46826.57</v>
      </c>
      <c r="D93" s="9">
        <v>-7.7000000000000002E-3</v>
      </c>
      <c r="E93" s="8">
        <v>24704</v>
      </c>
    </row>
    <row r="94" spans="1:5" x14ac:dyDescent="0.3">
      <c r="A94" s="5" t="s">
        <v>96</v>
      </c>
      <c r="B94" s="6">
        <v>51090.7</v>
      </c>
      <c r="C94" s="6">
        <v>46833.15</v>
      </c>
      <c r="D94" s="10">
        <v>1E-4</v>
      </c>
      <c r="E94" s="8">
        <v>32530</v>
      </c>
    </row>
    <row r="95" spans="1:5" x14ac:dyDescent="0.3">
      <c r="A95" s="5" t="s">
        <v>97</v>
      </c>
      <c r="B95" s="6">
        <v>51397.53</v>
      </c>
      <c r="C95" s="6">
        <v>47114.400000000001</v>
      </c>
      <c r="D95" s="10">
        <v>6.0000000000000001E-3</v>
      </c>
      <c r="E95" s="8">
        <v>18003</v>
      </c>
    </row>
    <row r="96" spans="1:5" x14ac:dyDescent="0.3">
      <c r="A96" s="5" t="s">
        <v>98</v>
      </c>
      <c r="B96" s="6">
        <v>51230.19</v>
      </c>
      <c r="C96" s="6">
        <v>46961.01</v>
      </c>
      <c r="D96" s="9">
        <v>-3.3E-3</v>
      </c>
      <c r="E96" s="8">
        <v>39081</v>
      </c>
    </row>
    <row r="97" spans="1:5" x14ac:dyDescent="0.3">
      <c r="A97" s="5" t="s">
        <v>99</v>
      </c>
      <c r="B97" s="6">
        <v>51393.99</v>
      </c>
      <c r="C97" s="6">
        <v>47111.15</v>
      </c>
      <c r="D97" s="10">
        <v>3.2000000000000002E-3</v>
      </c>
      <c r="E97" s="8">
        <v>12399</v>
      </c>
    </row>
    <row r="98" spans="1:5" x14ac:dyDescent="0.3">
      <c r="A98" s="5" t="s">
        <v>100</v>
      </c>
      <c r="B98" s="6">
        <v>51391.41</v>
      </c>
      <c r="C98" s="6">
        <v>47108.79</v>
      </c>
      <c r="D98" s="9">
        <v>-1E-4</v>
      </c>
      <c r="E98" s="8">
        <v>13978</v>
      </c>
    </row>
    <row r="99" spans="1:5" x14ac:dyDescent="0.3">
      <c r="A99" s="5" t="s">
        <v>101</v>
      </c>
      <c r="B99" s="6">
        <v>51597.14</v>
      </c>
      <c r="C99" s="6">
        <v>47297.38</v>
      </c>
      <c r="D99" s="10">
        <v>4.0000000000000001E-3</v>
      </c>
      <c r="E99" s="8">
        <v>13594</v>
      </c>
    </row>
    <row r="100" spans="1:5" x14ac:dyDescent="0.3">
      <c r="A100" s="5" t="s">
        <v>102</v>
      </c>
      <c r="B100" s="6">
        <v>51488.2</v>
      </c>
      <c r="C100" s="6">
        <v>47197.52</v>
      </c>
      <c r="D100" s="9">
        <v>-2.0999999999999999E-3</v>
      </c>
      <c r="E100" s="8">
        <v>14109</v>
      </c>
    </row>
    <row r="101" spans="1:5" x14ac:dyDescent="0.3">
      <c r="A101" s="5" t="s">
        <v>103</v>
      </c>
      <c r="B101" s="6">
        <v>51530.43</v>
      </c>
      <c r="C101" s="6">
        <v>47236.22</v>
      </c>
      <c r="D101" s="10">
        <v>8.0000000000000004E-4</v>
      </c>
      <c r="E101" s="8">
        <v>36303</v>
      </c>
    </row>
    <row r="102" spans="1:5" x14ac:dyDescent="0.3">
      <c r="A102" s="5" t="s">
        <v>104</v>
      </c>
      <c r="B102" s="6">
        <v>51600.92</v>
      </c>
      <c r="C102" s="6">
        <v>47300.84</v>
      </c>
      <c r="D102" s="10">
        <v>1.4E-3</v>
      </c>
      <c r="E102" s="8">
        <v>14328</v>
      </c>
    </row>
    <row r="103" spans="1:5" x14ac:dyDescent="0.3">
      <c r="A103" s="5" t="s">
        <v>105</v>
      </c>
      <c r="B103" s="6">
        <v>51245.74</v>
      </c>
      <c r="C103" s="6">
        <v>46975.26</v>
      </c>
      <c r="D103" s="9">
        <v>-6.8999999999999999E-3</v>
      </c>
      <c r="E103" s="8">
        <v>32421</v>
      </c>
    </row>
    <row r="104" spans="1:5" x14ac:dyDescent="0.3">
      <c r="A104" s="5" t="s">
        <v>106</v>
      </c>
      <c r="B104" s="6">
        <v>50910.15</v>
      </c>
      <c r="C104" s="6">
        <v>46667.63</v>
      </c>
      <c r="D104" s="9">
        <v>-6.4999999999999997E-3</v>
      </c>
      <c r="E104" s="8">
        <v>16527</v>
      </c>
    </row>
    <row r="105" spans="1:5" x14ac:dyDescent="0.3">
      <c r="A105" s="5" t="s">
        <v>107</v>
      </c>
      <c r="B105" s="6">
        <v>50941.279999999999</v>
      </c>
      <c r="C105" s="6">
        <v>46696.18</v>
      </c>
      <c r="D105" s="10">
        <v>5.9999999999999995E-4</v>
      </c>
      <c r="E105" s="8">
        <v>11930</v>
      </c>
    </row>
    <row r="106" spans="1:5" x14ac:dyDescent="0.3">
      <c r="A106" s="5" t="s">
        <v>108</v>
      </c>
      <c r="B106" s="6">
        <v>50720.79</v>
      </c>
      <c r="C106" s="6">
        <v>46494.06</v>
      </c>
      <c r="D106" s="9">
        <v>-4.3E-3</v>
      </c>
      <c r="E106" s="8">
        <v>29603</v>
      </c>
    </row>
    <row r="107" spans="1:5" x14ac:dyDescent="0.3">
      <c r="A107" s="5" t="s">
        <v>109</v>
      </c>
      <c r="B107" s="6">
        <v>51327.8</v>
      </c>
      <c r="C107" s="6">
        <v>47050.48</v>
      </c>
      <c r="D107" s="10">
        <v>1.2E-2</v>
      </c>
      <c r="E107" s="8">
        <v>16010</v>
      </c>
    </row>
    <row r="108" spans="1:5" x14ac:dyDescent="0.3">
      <c r="A108" s="5" t="s">
        <v>110</v>
      </c>
      <c r="B108" s="6">
        <v>51399.360000000001</v>
      </c>
      <c r="C108" s="6">
        <v>47116.08</v>
      </c>
      <c r="D108" s="10">
        <v>1.4E-3</v>
      </c>
      <c r="E108" s="8">
        <v>34922</v>
      </c>
    </row>
    <row r="109" spans="1:5" x14ac:dyDescent="0.3">
      <c r="A109" s="5" t="s">
        <v>111</v>
      </c>
      <c r="B109" s="6">
        <v>51630.45</v>
      </c>
      <c r="C109" s="6">
        <v>47327.91</v>
      </c>
      <c r="D109" s="10">
        <v>4.4999999999999997E-3</v>
      </c>
      <c r="E109" s="8">
        <v>31173</v>
      </c>
    </row>
    <row r="110" spans="1:5" x14ac:dyDescent="0.3">
      <c r="A110" s="5" t="s">
        <v>112</v>
      </c>
      <c r="B110" s="6">
        <v>50775.02</v>
      </c>
      <c r="C110" s="6">
        <v>46543.77</v>
      </c>
      <c r="D110" s="9">
        <v>-1.66E-2</v>
      </c>
      <c r="E110" s="8">
        <v>35717</v>
      </c>
    </row>
    <row r="111" spans="1:5" x14ac:dyDescent="0.3">
      <c r="A111" s="5" t="s">
        <v>113</v>
      </c>
      <c r="B111" s="6">
        <v>50730.39</v>
      </c>
      <c r="C111" s="6">
        <v>46502.85</v>
      </c>
      <c r="D111" s="9">
        <v>-8.9999999999999998E-4</v>
      </c>
      <c r="E111" s="8">
        <v>11371</v>
      </c>
    </row>
    <row r="112" spans="1:5" x14ac:dyDescent="0.3">
      <c r="A112" s="5" t="s">
        <v>114</v>
      </c>
      <c r="B112" s="6">
        <v>51114.95</v>
      </c>
      <c r="C112" s="6">
        <v>46855.37</v>
      </c>
      <c r="D112" s="10">
        <v>7.6E-3</v>
      </c>
      <c r="E112" s="8">
        <v>26850</v>
      </c>
    </row>
    <row r="113" spans="1:5" x14ac:dyDescent="0.3">
      <c r="A113" s="5" t="s">
        <v>115</v>
      </c>
      <c r="B113" s="6">
        <v>50636.89</v>
      </c>
      <c r="C113" s="6">
        <v>46417.15</v>
      </c>
      <c r="D113" s="9">
        <v>-9.4000000000000004E-3</v>
      </c>
      <c r="E113" s="8">
        <v>28476</v>
      </c>
    </row>
    <row r="114" spans="1:5" x14ac:dyDescent="0.3">
      <c r="A114" s="5" t="s">
        <v>116</v>
      </c>
      <c r="B114" s="6">
        <v>50748.66</v>
      </c>
      <c r="C114" s="6">
        <v>46519.6</v>
      </c>
      <c r="D114" s="10">
        <v>2.2000000000000001E-3</v>
      </c>
      <c r="E114" s="8">
        <v>31045</v>
      </c>
    </row>
    <row r="115" spans="1:5" x14ac:dyDescent="0.3">
      <c r="A115" s="5" t="s">
        <v>117</v>
      </c>
      <c r="B115" s="6">
        <v>50573.02</v>
      </c>
      <c r="C115" s="6">
        <v>46358.6</v>
      </c>
      <c r="D115" s="9">
        <v>-3.5000000000000001E-3</v>
      </c>
      <c r="E115" s="8">
        <v>14789</v>
      </c>
    </row>
    <row r="116" spans="1:5" x14ac:dyDescent="0.3">
      <c r="A116" s="5" t="s">
        <v>118</v>
      </c>
      <c r="B116" s="6">
        <v>50808.24</v>
      </c>
      <c r="C116" s="6">
        <v>46574.22</v>
      </c>
      <c r="D116" s="10">
        <v>4.7000000000000002E-3</v>
      </c>
      <c r="E116" s="8">
        <v>41253</v>
      </c>
    </row>
    <row r="117" spans="1:5" x14ac:dyDescent="0.3">
      <c r="A117" s="5" t="s">
        <v>119</v>
      </c>
      <c r="B117" s="6">
        <v>51327.77</v>
      </c>
      <c r="C117" s="6">
        <v>47050.46</v>
      </c>
      <c r="D117" s="10">
        <v>1.0200000000000001E-2</v>
      </c>
      <c r="E117" s="8">
        <v>21942</v>
      </c>
    </row>
    <row r="118" spans="1:5" x14ac:dyDescent="0.3">
      <c r="A118" s="5" t="s">
        <v>120</v>
      </c>
      <c r="B118" s="6">
        <v>50837.89</v>
      </c>
      <c r="C118" s="6">
        <v>46601.4</v>
      </c>
      <c r="D118" s="9">
        <v>-9.4999999999999998E-3</v>
      </c>
      <c r="E118" s="8">
        <v>18140</v>
      </c>
    </row>
    <row r="119" spans="1:5" x14ac:dyDescent="0.3">
      <c r="A119" s="5" t="s">
        <v>121</v>
      </c>
      <c r="B119" s="6">
        <v>50492.79</v>
      </c>
      <c r="C119" s="6">
        <v>46285.06</v>
      </c>
      <c r="D119" s="9">
        <v>-6.7999999999999996E-3</v>
      </c>
      <c r="E119" s="8">
        <v>39600</v>
      </c>
    </row>
    <row r="120" spans="1:5" x14ac:dyDescent="0.3">
      <c r="A120" s="5" t="s">
        <v>122</v>
      </c>
      <c r="B120" s="6">
        <v>50728.06</v>
      </c>
      <c r="C120" s="6">
        <v>46500.72</v>
      </c>
      <c r="D120" s="10">
        <v>4.7000000000000002E-3</v>
      </c>
      <c r="E120" s="8">
        <v>22696</v>
      </c>
    </row>
    <row r="121" spans="1:5" x14ac:dyDescent="0.3">
      <c r="A121" s="5" t="s">
        <v>123</v>
      </c>
      <c r="B121" s="6">
        <v>50337.22</v>
      </c>
      <c r="C121" s="6">
        <v>46142.45</v>
      </c>
      <c r="D121" s="9">
        <v>-7.7000000000000002E-3</v>
      </c>
      <c r="E121" s="8">
        <v>15092</v>
      </c>
    </row>
    <row r="122" spans="1:5" x14ac:dyDescent="0.3">
      <c r="A122" s="5" t="s">
        <v>124</v>
      </c>
      <c r="B122" s="6">
        <v>50067.95</v>
      </c>
      <c r="C122" s="6">
        <v>45895.62</v>
      </c>
      <c r="D122" s="9">
        <v>-5.3E-3</v>
      </c>
      <c r="E122" s="8">
        <v>30945</v>
      </c>
    </row>
    <row r="123" spans="1:5" x14ac:dyDescent="0.3">
      <c r="A123" s="5" t="s">
        <v>125</v>
      </c>
      <c r="B123" s="6">
        <v>50132.19</v>
      </c>
      <c r="C123" s="6">
        <v>45954.5</v>
      </c>
      <c r="D123" s="10">
        <v>1.2999999999999999E-3</v>
      </c>
      <c r="E123" s="8">
        <v>32088</v>
      </c>
    </row>
    <row r="124" spans="1:5" x14ac:dyDescent="0.3">
      <c r="A124" s="5" t="s">
        <v>126</v>
      </c>
      <c r="B124" s="6">
        <v>50271.54</v>
      </c>
      <c r="C124" s="6">
        <v>46082.239999999998</v>
      </c>
      <c r="D124" s="10">
        <v>2.8E-3</v>
      </c>
      <c r="E124" s="8">
        <v>15529</v>
      </c>
    </row>
    <row r="125" spans="1:5" x14ac:dyDescent="0.3">
      <c r="A125" s="5" t="s">
        <v>127</v>
      </c>
      <c r="B125" s="6">
        <v>50731.58</v>
      </c>
      <c r="C125" s="6">
        <v>46503.95</v>
      </c>
      <c r="D125" s="10">
        <v>9.1999999999999998E-3</v>
      </c>
      <c r="E125" s="8">
        <v>26256</v>
      </c>
    </row>
    <row r="126" spans="1:5" x14ac:dyDescent="0.3">
      <c r="A126" s="5" t="s">
        <v>128</v>
      </c>
      <c r="B126" s="6">
        <v>50824.42</v>
      </c>
      <c r="C126" s="6">
        <v>46589.05</v>
      </c>
      <c r="D126" s="10">
        <v>1.8E-3</v>
      </c>
      <c r="E126" s="8">
        <v>22821</v>
      </c>
    </row>
    <row r="127" spans="1:5" x14ac:dyDescent="0.3">
      <c r="A127" s="5" t="s">
        <v>129</v>
      </c>
      <c r="B127" s="6">
        <v>50450.65</v>
      </c>
      <c r="C127" s="6">
        <v>46246.43</v>
      </c>
      <c r="D127" s="9">
        <v>-7.4000000000000003E-3</v>
      </c>
      <c r="E127" s="8">
        <v>36122</v>
      </c>
    </row>
    <row r="128" spans="1:5" x14ac:dyDescent="0.3">
      <c r="A128" s="5" t="s">
        <v>130</v>
      </c>
      <c r="B128" s="6">
        <v>51160.46</v>
      </c>
      <c r="C128" s="6">
        <v>46897.09</v>
      </c>
      <c r="D128" s="10">
        <v>1.41E-2</v>
      </c>
      <c r="E128" s="8">
        <v>9720</v>
      </c>
    </row>
    <row r="129" spans="1:5" x14ac:dyDescent="0.3">
      <c r="A129" s="5" t="s">
        <v>131</v>
      </c>
      <c r="B129" s="6">
        <v>51602.75</v>
      </c>
      <c r="C129" s="6">
        <v>47302.52</v>
      </c>
      <c r="D129" s="10">
        <v>8.6E-3</v>
      </c>
      <c r="E129" s="8">
        <v>25527</v>
      </c>
    </row>
    <row r="130" spans="1:5" x14ac:dyDescent="0.3">
      <c r="A130" s="5" t="s">
        <v>132</v>
      </c>
      <c r="B130" s="6">
        <v>51376.54</v>
      </c>
      <c r="C130" s="6">
        <v>47095.17</v>
      </c>
      <c r="D130" s="9">
        <v>-4.4000000000000003E-3</v>
      </c>
      <c r="E130" s="8">
        <v>9897</v>
      </c>
    </row>
    <row r="131" spans="1:5" x14ac:dyDescent="0.3">
      <c r="A131" s="5" t="s">
        <v>133</v>
      </c>
      <c r="B131" s="6">
        <v>51303.11</v>
      </c>
      <c r="C131" s="6">
        <v>47027.85</v>
      </c>
      <c r="D131" s="9">
        <v>-1.4E-3</v>
      </c>
      <c r="E131" s="8">
        <v>19823</v>
      </c>
    </row>
    <row r="132" spans="1:5" x14ac:dyDescent="0.3">
      <c r="A132" s="5" t="s">
        <v>134</v>
      </c>
      <c r="B132" s="6">
        <v>52099.17</v>
      </c>
      <c r="C132" s="6">
        <v>47757.57</v>
      </c>
      <c r="D132" s="10">
        <v>1.55E-2</v>
      </c>
      <c r="E132" s="8">
        <v>25909</v>
      </c>
    </row>
    <row r="133" spans="1:5" x14ac:dyDescent="0.3">
      <c r="A133" s="5" t="s">
        <v>135</v>
      </c>
      <c r="B133" s="6">
        <v>51307.65</v>
      </c>
      <c r="C133" s="6">
        <v>47032.02</v>
      </c>
      <c r="D133" s="9">
        <v>-1.52E-2</v>
      </c>
      <c r="E133" s="8">
        <v>28249</v>
      </c>
    </row>
    <row r="134" spans="1:5" x14ac:dyDescent="0.3">
      <c r="A134" s="5" t="s">
        <v>136</v>
      </c>
      <c r="B134" s="6">
        <v>51661</v>
      </c>
      <c r="C134" s="6">
        <v>47355.92</v>
      </c>
      <c r="D134" s="10">
        <v>6.8999999999999999E-3</v>
      </c>
      <c r="E134" s="8">
        <v>30270</v>
      </c>
    </row>
    <row r="135" spans="1:5" x14ac:dyDescent="0.3">
      <c r="A135" s="5" t="s">
        <v>137</v>
      </c>
      <c r="B135" s="6">
        <v>51002.26</v>
      </c>
      <c r="C135" s="6">
        <v>46752.07</v>
      </c>
      <c r="D135" s="9">
        <v>-1.2800000000000001E-2</v>
      </c>
      <c r="E135" s="8">
        <v>31004</v>
      </c>
    </row>
    <row r="136" spans="1:5" x14ac:dyDescent="0.3">
      <c r="A136" s="5" t="s">
        <v>138</v>
      </c>
      <c r="B136" s="6">
        <v>50945.96</v>
      </c>
      <c r="C136" s="6">
        <v>46700.46</v>
      </c>
      <c r="D136" s="9">
        <v>-1.1000000000000001E-3</v>
      </c>
      <c r="E136" s="8">
        <v>8400</v>
      </c>
    </row>
    <row r="137" spans="1:5" x14ac:dyDescent="0.3">
      <c r="A137" s="5" t="s">
        <v>139</v>
      </c>
      <c r="B137" s="6">
        <v>51499.76</v>
      </c>
      <c r="C137" s="6">
        <v>47208.11</v>
      </c>
      <c r="D137" s="10">
        <v>1.09E-2</v>
      </c>
      <c r="E137" s="8">
        <v>19888</v>
      </c>
    </row>
    <row r="138" spans="1:5" x14ac:dyDescent="0.3">
      <c r="A138" s="5" t="s">
        <v>140</v>
      </c>
      <c r="B138" s="6">
        <v>51438.78</v>
      </c>
      <c r="C138" s="6">
        <v>47152.22</v>
      </c>
      <c r="D138" s="9">
        <v>-1.1999999999999999E-3</v>
      </c>
      <c r="E138" s="8">
        <v>17388</v>
      </c>
    </row>
    <row r="139" spans="1:5" x14ac:dyDescent="0.3">
      <c r="A139" s="5" t="s">
        <v>141</v>
      </c>
      <c r="B139" s="6">
        <v>51362.73</v>
      </c>
      <c r="C139" s="6">
        <v>47082.5</v>
      </c>
      <c r="D139" s="9">
        <v>-1.5E-3</v>
      </c>
      <c r="E139" s="8">
        <v>34265</v>
      </c>
    </row>
    <row r="140" spans="1:5" x14ac:dyDescent="0.3">
      <c r="A140" s="5" t="s">
        <v>142</v>
      </c>
      <c r="B140" s="6">
        <v>52118.07</v>
      </c>
      <c r="C140" s="6">
        <v>47774.9</v>
      </c>
      <c r="D140" s="10">
        <v>1.47E-2</v>
      </c>
      <c r="E140" s="8">
        <v>12560</v>
      </c>
    </row>
    <row r="141" spans="1:5" x14ac:dyDescent="0.3">
      <c r="A141" s="5" t="s">
        <v>143</v>
      </c>
      <c r="B141" s="6">
        <v>52462.31</v>
      </c>
      <c r="C141" s="6">
        <v>48090.45</v>
      </c>
      <c r="D141" s="10">
        <v>6.6E-3</v>
      </c>
      <c r="E141" s="8">
        <v>17297</v>
      </c>
    </row>
    <row r="142" spans="1:5" x14ac:dyDescent="0.3">
      <c r="A142" s="5" t="s">
        <v>144</v>
      </c>
      <c r="B142" s="6">
        <v>52849.95</v>
      </c>
      <c r="C142" s="6">
        <v>48445.79</v>
      </c>
      <c r="D142" s="10">
        <v>7.4000000000000003E-3</v>
      </c>
      <c r="E142" s="8">
        <v>10009</v>
      </c>
    </row>
    <row r="143" spans="1:5" x14ac:dyDescent="0.3">
      <c r="A143" s="5" t="s">
        <v>145</v>
      </c>
      <c r="B143" s="6">
        <v>52519.91</v>
      </c>
      <c r="C143" s="6">
        <v>48143.25</v>
      </c>
      <c r="D143" s="9">
        <v>-6.1999999999999998E-3</v>
      </c>
      <c r="E143" s="8">
        <v>14013</v>
      </c>
    </row>
    <row r="144" spans="1:5" x14ac:dyDescent="0.3">
      <c r="A144" s="5" t="s">
        <v>146</v>
      </c>
      <c r="B144" s="6">
        <v>52266.02</v>
      </c>
      <c r="C144" s="6">
        <v>47910.52</v>
      </c>
      <c r="D144" s="9">
        <v>-4.7999999999999996E-3</v>
      </c>
      <c r="E144" s="8">
        <v>22098</v>
      </c>
    </row>
    <row r="145" spans="1:5" x14ac:dyDescent="0.3">
      <c r="A145" s="5" t="s">
        <v>147</v>
      </c>
      <c r="B145" s="6">
        <v>52769.46</v>
      </c>
      <c r="C145" s="6">
        <v>48372.01</v>
      </c>
      <c r="D145" s="10">
        <v>9.5999999999999992E-3</v>
      </c>
      <c r="E145" s="8">
        <v>32654</v>
      </c>
    </row>
    <row r="146" spans="1:5" x14ac:dyDescent="0.3">
      <c r="A146" s="5" t="s">
        <v>148</v>
      </c>
      <c r="B146" s="6">
        <v>52830.720000000001</v>
      </c>
      <c r="C146" s="6">
        <v>48428.160000000003</v>
      </c>
      <c r="D146" s="10">
        <v>1.1999999999999999E-3</v>
      </c>
      <c r="E146" s="8">
        <v>35514</v>
      </c>
    </row>
    <row r="147" spans="1:5" x14ac:dyDescent="0.3">
      <c r="A147" s="5" t="s">
        <v>149</v>
      </c>
      <c r="B147" s="6">
        <v>53479.77</v>
      </c>
      <c r="C147" s="6">
        <v>49023.12</v>
      </c>
      <c r="D147" s="10">
        <v>1.23E-2</v>
      </c>
      <c r="E147" s="8">
        <v>37730</v>
      </c>
    </row>
    <row r="148" spans="1:5" x14ac:dyDescent="0.3">
      <c r="A148" s="5" t="s">
        <v>150</v>
      </c>
      <c r="B148" s="6">
        <v>53473.72</v>
      </c>
      <c r="C148" s="6">
        <v>49017.58</v>
      </c>
      <c r="D148" s="9">
        <v>-1E-4</v>
      </c>
      <c r="E148" s="8">
        <v>30340</v>
      </c>
    </row>
    <row r="149" spans="1:5" x14ac:dyDescent="0.3">
      <c r="A149" s="5" t="s">
        <v>151</v>
      </c>
      <c r="B149" s="6">
        <v>53447.93</v>
      </c>
      <c r="C149" s="6">
        <v>48993.94</v>
      </c>
      <c r="D149" s="9">
        <v>-5.0000000000000001E-4</v>
      </c>
      <c r="E149" s="8">
        <v>18315</v>
      </c>
    </row>
    <row r="150" spans="1:5" x14ac:dyDescent="0.3">
      <c r="A150" s="5" t="s">
        <v>152</v>
      </c>
      <c r="B150" s="6">
        <v>53356.2</v>
      </c>
      <c r="C150" s="6">
        <v>48909.85</v>
      </c>
      <c r="D150" s="9">
        <v>-1.6999999999999999E-3</v>
      </c>
      <c r="E150" s="8">
        <v>32251</v>
      </c>
    </row>
    <row r="151" spans="1:5" x14ac:dyDescent="0.3">
      <c r="A151" s="5" t="s">
        <v>153</v>
      </c>
      <c r="B151" s="6">
        <v>54033.89</v>
      </c>
      <c r="C151" s="6">
        <v>49531.07</v>
      </c>
      <c r="D151" s="10">
        <v>1.2699999999999999E-2</v>
      </c>
      <c r="E151" s="8">
        <v>28423</v>
      </c>
    </row>
    <row r="152" spans="1:5" x14ac:dyDescent="0.3">
      <c r="A152" s="5" t="s">
        <v>154</v>
      </c>
      <c r="B152" s="6">
        <v>54569.24</v>
      </c>
      <c r="C152" s="6">
        <v>50021.8</v>
      </c>
      <c r="D152" s="10">
        <v>9.9000000000000008E-3</v>
      </c>
      <c r="E152" s="8">
        <v>29258</v>
      </c>
    </row>
    <row r="153" spans="1:5" x14ac:dyDescent="0.3">
      <c r="A153" s="5" t="s">
        <v>155</v>
      </c>
      <c r="B153" s="6">
        <v>54393.63</v>
      </c>
      <c r="C153" s="6">
        <v>49860.83</v>
      </c>
      <c r="D153" s="9">
        <v>-3.2000000000000002E-3</v>
      </c>
      <c r="E153" s="8">
        <v>13567</v>
      </c>
    </row>
    <row r="154" spans="1:5" x14ac:dyDescent="0.3">
      <c r="A154" s="5" t="s">
        <v>156</v>
      </c>
      <c r="B154" s="6">
        <v>54253.93</v>
      </c>
      <c r="C154" s="6">
        <v>49732.77</v>
      </c>
      <c r="D154" s="9">
        <v>-2.5999999999999999E-3</v>
      </c>
      <c r="E154" s="8">
        <v>11447</v>
      </c>
    </row>
    <row r="155" spans="1:5" x14ac:dyDescent="0.3">
      <c r="A155" s="5" t="s">
        <v>157</v>
      </c>
      <c r="B155" s="6">
        <v>54535.68</v>
      </c>
      <c r="C155" s="6">
        <v>49991.040000000001</v>
      </c>
      <c r="D155" s="10">
        <v>5.1999999999999998E-3</v>
      </c>
      <c r="E155" s="8">
        <v>18196</v>
      </c>
    </row>
    <row r="156" spans="1:5" x14ac:dyDescent="0.3">
      <c r="A156" s="5" t="s">
        <v>158</v>
      </c>
      <c r="B156" s="6">
        <v>55396.9</v>
      </c>
      <c r="C156" s="6">
        <v>50780.49</v>
      </c>
      <c r="D156" s="10">
        <v>1.5800000000000002E-2</v>
      </c>
      <c r="E156" s="8">
        <v>18316</v>
      </c>
    </row>
    <row r="157" spans="1:5" x14ac:dyDescent="0.3">
      <c r="A157" s="5" t="s">
        <v>159</v>
      </c>
      <c r="B157" s="6">
        <v>54801.77</v>
      </c>
      <c r="C157" s="6">
        <v>50234.95</v>
      </c>
      <c r="D157" s="9">
        <v>-1.0699999999999999E-2</v>
      </c>
      <c r="E157" s="8">
        <v>11261</v>
      </c>
    </row>
    <row r="158" spans="1:5" x14ac:dyDescent="0.3">
      <c r="A158" s="5" t="s">
        <v>160</v>
      </c>
      <c r="B158" s="6">
        <v>54967.17</v>
      </c>
      <c r="C158" s="6">
        <v>50386.57</v>
      </c>
      <c r="D158" s="10">
        <v>3.0000000000000001E-3</v>
      </c>
      <c r="E158" s="8">
        <v>13346</v>
      </c>
    </row>
    <row r="159" spans="1:5" x14ac:dyDescent="0.3">
      <c r="A159" s="5" t="s">
        <v>161</v>
      </c>
      <c r="B159" s="6">
        <v>55419.89</v>
      </c>
      <c r="C159" s="6">
        <v>50801.56</v>
      </c>
      <c r="D159" s="10">
        <v>8.2000000000000007E-3</v>
      </c>
      <c r="E159" s="8">
        <v>25832</v>
      </c>
    </row>
    <row r="160" spans="1:5" x14ac:dyDescent="0.3">
      <c r="A160" s="5" t="s">
        <v>162</v>
      </c>
      <c r="B160" s="6">
        <v>54808.2</v>
      </c>
      <c r="C160" s="6">
        <v>50240.85</v>
      </c>
      <c r="D160" s="9">
        <v>-1.0999999999999999E-2</v>
      </c>
      <c r="E160" s="8">
        <v>37039</v>
      </c>
    </row>
    <row r="161" spans="1:5" x14ac:dyDescent="0.3">
      <c r="A161" s="5" t="s">
        <v>163</v>
      </c>
      <c r="B161" s="6">
        <v>55746.51</v>
      </c>
      <c r="C161" s="6">
        <v>51100.97</v>
      </c>
      <c r="D161" s="10">
        <v>1.7100000000000001E-2</v>
      </c>
      <c r="E161" s="8">
        <v>35788</v>
      </c>
    </row>
    <row r="162" spans="1:5" x14ac:dyDescent="0.3">
      <c r="A162" s="5" t="s">
        <v>164</v>
      </c>
      <c r="B162" s="6">
        <v>56658.34</v>
      </c>
      <c r="C162" s="6">
        <v>51936.81</v>
      </c>
      <c r="D162" s="10">
        <v>1.6400000000000001E-2</v>
      </c>
      <c r="E162" s="8">
        <v>39828</v>
      </c>
    </row>
    <row r="163" spans="1:5" x14ac:dyDescent="0.3">
      <c r="A163" s="5" t="s">
        <v>165</v>
      </c>
      <c r="B163" s="6">
        <v>55889.919999999998</v>
      </c>
      <c r="C163" s="6">
        <v>51232.43</v>
      </c>
      <c r="D163" s="9">
        <v>-1.3599999999999999E-2</v>
      </c>
      <c r="E163" s="8">
        <v>36969</v>
      </c>
    </row>
    <row r="164" spans="1:5" x14ac:dyDescent="0.3">
      <c r="A164" s="5" t="s">
        <v>166</v>
      </c>
      <c r="B164" s="6">
        <v>55803.85</v>
      </c>
      <c r="C164" s="6">
        <v>51153.53</v>
      </c>
      <c r="D164" s="9">
        <v>-1.5E-3</v>
      </c>
      <c r="E164" s="8">
        <v>35143</v>
      </c>
    </row>
    <row r="165" spans="1:5" x14ac:dyDescent="0.3">
      <c r="A165" s="5" t="s">
        <v>167</v>
      </c>
      <c r="B165" s="6">
        <v>56026.78</v>
      </c>
      <c r="C165" s="6">
        <v>51357.89</v>
      </c>
      <c r="D165" s="10">
        <v>4.0000000000000001E-3</v>
      </c>
      <c r="E165" s="8">
        <v>25902</v>
      </c>
    </row>
    <row r="166" spans="1:5" x14ac:dyDescent="0.3">
      <c r="A166" s="5" t="s">
        <v>168</v>
      </c>
      <c r="B166" s="6">
        <v>56985.5</v>
      </c>
      <c r="C166" s="6">
        <v>52236.71</v>
      </c>
      <c r="D166" s="10">
        <v>1.7100000000000001E-2</v>
      </c>
      <c r="E166" s="8">
        <v>22127</v>
      </c>
    </row>
    <row r="167" spans="1:5" x14ac:dyDescent="0.3">
      <c r="A167" s="5" t="s">
        <v>169</v>
      </c>
      <c r="B167" s="6">
        <v>56343.76</v>
      </c>
      <c r="C167" s="6">
        <v>51648.45</v>
      </c>
      <c r="D167" s="9">
        <v>-1.1299999999999999E-2</v>
      </c>
      <c r="E167" s="8">
        <v>41577</v>
      </c>
    </row>
    <row r="168" spans="1:5" x14ac:dyDescent="0.3">
      <c r="A168" s="5" t="s">
        <v>170</v>
      </c>
      <c r="B168" s="6">
        <v>56448.66</v>
      </c>
      <c r="C168" s="6">
        <v>51744.6</v>
      </c>
      <c r="D168" s="10">
        <v>1.9E-3</v>
      </c>
      <c r="E168" s="8">
        <v>15459</v>
      </c>
    </row>
    <row r="169" spans="1:5" x14ac:dyDescent="0.3">
      <c r="A169" s="5" t="s">
        <v>171</v>
      </c>
      <c r="B169" s="6">
        <v>56835.55</v>
      </c>
      <c r="C169" s="6">
        <v>52099.25</v>
      </c>
      <c r="D169" s="10">
        <v>6.8999999999999999E-3</v>
      </c>
      <c r="E169" s="8">
        <v>30621</v>
      </c>
    </row>
    <row r="170" spans="1:5" x14ac:dyDescent="0.3">
      <c r="A170" s="5" t="s">
        <v>172</v>
      </c>
      <c r="B170" s="6">
        <v>56674.35</v>
      </c>
      <c r="C170" s="6">
        <v>51951.49</v>
      </c>
      <c r="D170" s="9">
        <v>-2.8E-3</v>
      </c>
      <c r="E170" s="8">
        <v>36174</v>
      </c>
    </row>
    <row r="171" spans="1:5" x14ac:dyDescent="0.3">
      <c r="A171" s="5" t="s">
        <v>173</v>
      </c>
      <c r="B171" s="6">
        <v>57416.91</v>
      </c>
      <c r="C171" s="6">
        <v>52632.160000000003</v>
      </c>
      <c r="D171" s="10">
        <v>1.3100000000000001E-2</v>
      </c>
      <c r="E171" s="8">
        <v>15267</v>
      </c>
    </row>
    <row r="172" spans="1:5" x14ac:dyDescent="0.3">
      <c r="A172" s="5" t="s">
        <v>174</v>
      </c>
      <c r="B172" s="6">
        <v>57551.08</v>
      </c>
      <c r="C172" s="6">
        <v>52755.15</v>
      </c>
      <c r="D172" s="10">
        <v>2.3E-3</v>
      </c>
      <c r="E172" s="8">
        <v>26562</v>
      </c>
    </row>
    <row r="173" spans="1:5" x14ac:dyDescent="0.3">
      <c r="A173" s="5" t="s">
        <v>175</v>
      </c>
      <c r="B173" s="6">
        <v>57496.83</v>
      </c>
      <c r="C173" s="6">
        <v>52705.43</v>
      </c>
      <c r="D173" s="9">
        <v>-8.9999999999999998E-4</v>
      </c>
      <c r="E173" s="8">
        <v>39891</v>
      </c>
    </row>
    <row r="174" spans="1:5" x14ac:dyDescent="0.3">
      <c r="A174" s="5" t="s">
        <v>176</v>
      </c>
      <c r="B174" s="6">
        <v>57546.7</v>
      </c>
      <c r="C174" s="6">
        <v>52751.14</v>
      </c>
      <c r="D174" s="10">
        <v>8.9999999999999998E-4</v>
      </c>
      <c r="E174" s="8">
        <v>28212</v>
      </c>
    </row>
    <row r="175" spans="1:5" x14ac:dyDescent="0.3">
      <c r="A175" s="5" t="s">
        <v>177</v>
      </c>
      <c r="B175" s="6">
        <v>58388.9</v>
      </c>
      <c r="C175" s="6">
        <v>53523.16</v>
      </c>
      <c r="D175" s="10">
        <v>1.46E-2</v>
      </c>
      <c r="E175" s="8">
        <v>10976</v>
      </c>
    </row>
    <row r="176" spans="1:5" x14ac:dyDescent="0.3">
      <c r="A176" s="5" t="s">
        <v>178</v>
      </c>
      <c r="B176" s="6">
        <v>58088.09</v>
      </c>
      <c r="C176" s="6">
        <v>53247.42</v>
      </c>
      <c r="D176" s="9">
        <v>-5.1999999999999998E-3</v>
      </c>
      <c r="E176" s="8">
        <v>22451</v>
      </c>
    </row>
    <row r="177" spans="1:5" x14ac:dyDescent="0.3">
      <c r="A177" s="5" t="s">
        <v>179</v>
      </c>
      <c r="B177" s="6">
        <v>58136.43</v>
      </c>
      <c r="C177" s="6">
        <v>53291.73</v>
      </c>
      <c r="D177" s="10">
        <v>8.0000000000000004E-4</v>
      </c>
      <c r="E177" s="8">
        <v>33903</v>
      </c>
    </row>
    <row r="178" spans="1:5" x14ac:dyDescent="0.3">
      <c r="A178" s="5" t="s">
        <v>180</v>
      </c>
      <c r="B178" s="6">
        <v>58300.36</v>
      </c>
      <c r="C178" s="6">
        <v>53442</v>
      </c>
      <c r="D178" s="10">
        <v>2.8E-3</v>
      </c>
      <c r="E178" s="8">
        <v>11590</v>
      </c>
    </row>
    <row r="179" spans="1:5" x14ac:dyDescent="0.3">
      <c r="A179" s="5" t="s">
        <v>181</v>
      </c>
      <c r="B179" s="6">
        <v>58447.48</v>
      </c>
      <c r="C179" s="6">
        <v>53576.85</v>
      </c>
      <c r="D179" s="10">
        <v>2.5000000000000001E-3</v>
      </c>
      <c r="E179" s="8">
        <v>8503</v>
      </c>
    </row>
    <row r="180" spans="1:5" x14ac:dyDescent="0.3">
      <c r="A180" s="5" t="s">
        <v>182</v>
      </c>
      <c r="B180" s="6">
        <v>58636.28</v>
      </c>
      <c r="C180" s="6">
        <v>53749.919999999998</v>
      </c>
      <c r="D180" s="10">
        <v>3.2000000000000002E-3</v>
      </c>
      <c r="E180" s="8">
        <v>21397</v>
      </c>
    </row>
    <row r="181" spans="1:5" x14ac:dyDescent="0.3">
      <c r="A181" s="5" t="s">
        <v>183</v>
      </c>
      <c r="B181" s="6">
        <v>58771.93</v>
      </c>
      <c r="C181" s="6">
        <v>53874.27</v>
      </c>
      <c r="D181" s="10">
        <v>2.3E-3</v>
      </c>
      <c r="E181" s="8">
        <v>27753</v>
      </c>
    </row>
    <row r="182" spans="1:5" x14ac:dyDescent="0.3">
      <c r="A182" s="5" t="s">
        <v>184</v>
      </c>
      <c r="B182" s="6">
        <v>59011.74</v>
      </c>
      <c r="C182" s="6">
        <v>54094.09</v>
      </c>
      <c r="D182" s="10">
        <v>4.1000000000000003E-3</v>
      </c>
      <c r="E182" s="8">
        <v>21843</v>
      </c>
    </row>
    <row r="183" spans="1:5" x14ac:dyDescent="0.3">
      <c r="A183" s="5" t="s">
        <v>185</v>
      </c>
      <c r="B183" s="6">
        <v>58600.81</v>
      </c>
      <c r="C183" s="6">
        <v>53717.41</v>
      </c>
      <c r="D183" s="9">
        <v>-7.0000000000000001E-3</v>
      </c>
      <c r="E183" s="8">
        <v>16993</v>
      </c>
    </row>
    <row r="184" spans="1:5" x14ac:dyDescent="0.3">
      <c r="A184" s="5" t="s">
        <v>186</v>
      </c>
      <c r="B184" s="6">
        <v>58523.5</v>
      </c>
      <c r="C184" s="6">
        <v>53646.54</v>
      </c>
      <c r="D184" s="9">
        <v>-1.2999999999999999E-3</v>
      </c>
      <c r="E184" s="8">
        <v>24745</v>
      </c>
    </row>
    <row r="185" spans="1:5" x14ac:dyDescent="0.3">
      <c r="A185" s="5" t="s">
        <v>187</v>
      </c>
      <c r="B185" s="6">
        <v>59167.37</v>
      </c>
      <c r="C185" s="6">
        <v>54236.75</v>
      </c>
      <c r="D185" s="10">
        <v>1.0999999999999999E-2</v>
      </c>
      <c r="E185" s="8">
        <v>26969</v>
      </c>
    </row>
    <row r="186" spans="1:5" x14ac:dyDescent="0.3">
      <c r="A186" s="5" t="s">
        <v>188</v>
      </c>
      <c r="B186" s="6">
        <v>60115.61</v>
      </c>
      <c r="C186" s="6">
        <v>55105.98</v>
      </c>
      <c r="D186" s="10">
        <v>1.6E-2</v>
      </c>
      <c r="E186" s="8">
        <v>29503</v>
      </c>
    </row>
    <row r="187" spans="1:5" x14ac:dyDescent="0.3">
      <c r="A187" s="5" t="s">
        <v>189</v>
      </c>
      <c r="B187" s="6">
        <v>59532</v>
      </c>
      <c r="C187" s="6">
        <v>54571</v>
      </c>
      <c r="D187" s="9">
        <v>-9.7000000000000003E-3</v>
      </c>
      <c r="E187" s="8">
        <v>15863</v>
      </c>
    </row>
    <row r="188" spans="1:5" x14ac:dyDescent="0.3">
      <c r="A188" s="5" t="s">
        <v>190</v>
      </c>
      <c r="B188" s="6">
        <v>59468.11</v>
      </c>
      <c r="C188" s="6">
        <v>54512.44</v>
      </c>
      <c r="D188" s="9">
        <v>-1.1000000000000001E-3</v>
      </c>
      <c r="E188" s="8">
        <v>8506</v>
      </c>
    </row>
    <row r="189" spans="1:5" x14ac:dyDescent="0.3">
      <c r="A189" s="5" t="s">
        <v>191</v>
      </c>
      <c r="B189" s="6">
        <v>59143.15</v>
      </c>
      <c r="C189" s="6">
        <v>54214.55</v>
      </c>
      <c r="D189" s="9">
        <v>-5.4999999999999997E-3</v>
      </c>
      <c r="E189" s="8">
        <v>40596</v>
      </c>
    </row>
    <row r="190" spans="1:5" x14ac:dyDescent="0.3">
      <c r="A190" s="5" t="s">
        <v>192</v>
      </c>
      <c r="B190" s="6">
        <v>59568.42</v>
      </c>
      <c r="C190" s="6">
        <v>54604.39</v>
      </c>
      <c r="D190" s="10">
        <v>7.1999999999999998E-3</v>
      </c>
      <c r="E190" s="8">
        <v>36223</v>
      </c>
    </row>
    <row r="191" spans="1:5" x14ac:dyDescent="0.3">
      <c r="A191" s="5" t="s">
        <v>193</v>
      </c>
      <c r="B191" s="6">
        <v>59457.32</v>
      </c>
      <c r="C191" s="6">
        <v>54502.55</v>
      </c>
      <c r="D191" s="9">
        <v>-1.9E-3</v>
      </c>
      <c r="E191" s="8">
        <v>19514</v>
      </c>
    </row>
    <row r="192" spans="1:5" x14ac:dyDescent="0.3">
      <c r="A192" s="5" t="s">
        <v>194</v>
      </c>
      <c r="B192" s="6">
        <v>60343.26</v>
      </c>
      <c r="C192" s="6">
        <v>55314.66</v>
      </c>
      <c r="D192" s="10">
        <v>1.49E-2</v>
      </c>
      <c r="E192" s="8">
        <v>16466</v>
      </c>
    </row>
    <row r="193" spans="1:5" x14ac:dyDescent="0.3">
      <c r="A193" s="5" t="s">
        <v>195</v>
      </c>
      <c r="B193" s="6">
        <v>59986.83</v>
      </c>
      <c r="C193" s="6">
        <v>54987.93</v>
      </c>
      <c r="D193" s="9">
        <v>-5.8999999999999999E-3</v>
      </c>
      <c r="E193" s="8">
        <v>32917</v>
      </c>
    </row>
    <row r="194" spans="1:5" x14ac:dyDescent="0.3">
      <c r="A194" s="5" t="s">
        <v>196</v>
      </c>
      <c r="B194" s="6">
        <v>60388.51</v>
      </c>
      <c r="C194" s="6">
        <v>55356.13</v>
      </c>
      <c r="D194" s="10">
        <v>6.7000000000000002E-3</v>
      </c>
      <c r="E194" s="8">
        <v>23080</v>
      </c>
    </row>
    <row r="195" spans="1:5" x14ac:dyDescent="0.3">
      <c r="A195" s="5" t="s">
        <v>197</v>
      </c>
      <c r="B195" s="6">
        <v>60614.11</v>
      </c>
      <c r="C195" s="6">
        <v>55562.93</v>
      </c>
      <c r="D195" s="10">
        <v>3.7000000000000002E-3</v>
      </c>
      <c r="E195" s="8">
        <v>40785</v>
      </c>
    </row>
    <row r="196" spans="1:5" x14ac:dyDescent="0.3">
      <c r="A196" s="5" t="s">
        <v>198</v>
      </c>
      <c r="B196" s="6">
        <v>60847.73</v>
      </c>
      <c r="C196" s="6">
        <v>55777.08</v>
      </c>
      <c r="D196" s="10">
        <v>3.8999999999999998E-3</v>
      </c>
      <c r="E196" s="8">
        <v>31210</v>
      </c>
    </row>
    <row r="197" spans="1:5" x14ac:dyDescent="0.3">
      <c r="A197" s="5" t="s">
        <v>199</v>
      </c>
      <c r="B197" s="6">
        <v>60479.44</v>
      </c>
      <c r="C197" s="6">
        <v>55439.49</v>
      </c>
      <c r="D197" s="9">
        <v>-6.1000000000000004E-3</v>
      </c>
      <c r="E197" s="8">
        <v>12723</v>
      </c>
    </row>
    <row r="198" spans="1:5" x14ac:dyDescent="0.3">
      <c r="A198" s="5" t="s">
        <v>200</v>
      </c>
      <c r="B198" s="6">
        <v>59933.42</v>
      </c>
      <c r="C198" s="6">
        <v>54938.97</v>
      </c>
      <c r="D198" s="9">
        <v>-8.9999999999999993E-3</v>
      </c>
      <c r="E198" s="8">
        <v>34022</v>
      </c>
    </row>
    <row r="199" spans="1:5" x14ac:dyDescent="0.3">
      <c r="A199" s="5" t="s">
        <v>201</v>
      </c>
      <c r="B199" s="6">
        <v>60432.84</v>
      </c>
      <c r="C199" s="6">
        <v>55396.77</v>
      </c>
      <c r="D199" s="10">
        <v>8.3000000000000001E-3</v>
      </c>
      <c r="E199" s="8">
        <v>10772</v>
      </c>
    </row>
    <row r="200" spans="1:5" x14ac:dyDescent="0.3">
      <c r="A200" s="5" t="s">
        <v>202</v>
      </c>
      <c r="B200" s="6">
        <v>59918.05</v>
      </c>
      <c r="C200" s="6">
        <v>54924.88</v>
      </c>
      <c r="D200" s="9">
        <v>-8.5000000000000006E-3</v>
      </c>
      <c r="E200" s="8">
        <v>36588</v>
      </c>
    </row>
    <row r="201" spans="1:5" x14ac:dyDescent="0.3">
      <c r="A201" s="5" t="s">
        <v>203</v>
      </c>
      <c r="B201" s="6">
        <v>59901.09</v>
      </c>
      <c r="C201" s="6">
        <v>54909.33</v>
      </c>
      <c r="D201" s="9">
        <v>-2.9999999999999997E-4</v>
      </c>
      <c r="E201" s="8">
        <v>9228</v>
      </c>
    </row>
    <row r="202" spans="1:5" x14ac:dyDescent="0.3">
      <c r="A202" s="5" t="s">
        <v>204</v>
      </c>
      <c r="B202" s="6">
        <v>59393.86</v>
      </c>
      <c r="C202" s="6">
        <v>54444.38</v>
      </c>
      <c r="D202" s="9">
        <v>-8.5000000000000006E-3</v>
      </c>
      <c r="E202" s="8">
        <v>38130</v>
      </c>
    </row>
    <row r="203" spans="1:5" x14ac:dyDescent="0.3">
      <c r="A203" s="5" t="s">
        <v>205</v>
      </c>
      <c r="B203" s="6">
        <v>59232.59</v>
      </c>
      <c r="C203" s="6">
        <v>54296.55</v>
      </c>
      <c r="D203" s="9">
        <v>-2.7000000000000001E-3</v>
      </c>
      <c r="E203" s="8">
        <v>13102</v>
      </c>
    </row>
    <row r="204" spans="1:5" x14ac:dyDescent="0.3">
      <c r="A204" s="5" t="s">
        <v>206</v>
      </c>
      <c r="B204" s="6">
        <v>59503.78</v>
      </c>
      <c r="C204" s="6">
        <v>54545.14</v>
      </c>
      <c r="D204" s="10">
        <v>4.5999999999999999E-3</v>
      </c>
      <c r="E204" s="8">
        <v>28516</v>
      </c>
    </row>
    <row r="205" spans="1:5" x14ac:dyDescent="0.3">
      <c r="A205" s="5" t="s">
        <v>207</v>
      </c>
      <c r="B205" s="6">
        <v>59443.22</v>
      </c>
      <c r="C205" s="6">
        <v>54489.62</v>
      </c>
      <c r="D205" s="9">
        <v>-1E-3</v>
      </c>
      <c r="E205" s="8">
        <v>36133</v>
      </c>
    </row>
    <row r="206" spans="1:5" x14ac:dyDescent="0.3">
      <c r="A206" s="5" t="s">
        <v>208</v>
      </c>
      <c r="B206" s="6">
        <v>59445.72</v>
      </c>
      <c r="C206" s="6">
        <v>54491.91</v>
      </c>
      <c r="D206" s="7">
        <v>0</v>
      </c>
      <c r="E206" s="8">
        <v>34504</v>
      </c>
    </row>
    <row r="207" spans="1:5" x14ac:dyDescent="0.3">
      <c r="A207" s="5" t="s">
        <v>209</v>
      </c>
      <c r="B207" s="6">
        <v>59236.56</v>
      </c>
      <c r="C207" s="6">
        <v>54300.18</v>
      </c>
      <c r="D207" s="9">
        <v>-3.5000000000000001E-3</v>
      </c>
      <c r="E207" s="8">
        <v>35373</v>
      </c>
    </row>
    <row r="208" spans="1:5" x14ac:dyDescent="0.3">
      <c r="A208" s="5" t="s">
        <v>210</v>
      </c>
      <c r="B208" s="6">
        <v>58672.74</v>
      </c>
      <c r="C208" s="6">
        <v>53783.34</v>
      </c>
      <c r="D208" s="9">
        <v>-9.4999999999999998E-3</v>
      </c>
      <c r="E208" s="8">
        <v>26973</v>
      </c>
    </row>
    <row r="209" spans="1:5" x14ac:dyDescent="0.3">
      <c r="A209" s="5" t="s">
        <v>211</v>
      </c>
      <c r="B209" s="6">
        <v>58699.23</v>
      </c>
      <c r="C209" s="6">
        <v>53807.63</v>
      </c>
      <c r="D209" s="10">
        <v>5.0000000000000001E-4</v>
      </c>
      <c r="E209" s="8">
        <v>15548</v>
      </c>
    </row>
    <row r="210" spans="1:5" x14ac:dyDescent="0.3">
      <c r="A210" s="5" t="s">
        <v>212</v>
      </c>
      <c r="B210" s="6">
        <v>58894.2</v>
      </c>
      <c r="C210" s="6">
        <v>53986.35</v>
      </c>
      <c r="D210" s="10">
        <v>3.3E-3</v>
      </c>
      <c r="E210" s="8">
        <v>34544</v>
      </c>
    </row>
    <row r="211" spans="1:5" x14ac:dyDescent="0.3">
      <c r="A211" s="5" t="s">
        <v>213</v>
      </c>
      <c r="B211" s="6">
        <v>59238.11</v>
      </c>
      <c r="C211" s="6">
        <v>54301.599999999999</v>
      </c>
      <c r="D211" s="10">
        <v>5.7999999999999996E-3</v>
      </c>
      <c r="E211" s="8">
        <v>9366</v>
      </c>
    </row>
    <row r="212" spans="1:5" x14ac:dyDescent="0.3">
      <c r="A212" s="5" t="s">
        <v>214</v>
      </c>
      <c r="B212" s="6">
        <v>58718.879999999997</v>
      </c>
      <c r="C212" s="6">
        <v>53825.64</v>
      </c>
      <c r="D212" s="9">
        <v>-8.8000000000000005E-3</v>
      </c>
      <c r="E212" s="8">
        <v>29284</v>
      </c>
    </row>
    <row r="213" spans="1:5" x14ac:dyDescent="0.3">
      <c r="A213" s="5" t="s">
        <v>215</v>
      </c>
      <c r="B213" s="6">
        <v>59075.19</v>
      </c>
      <c r="C213" s="6">
        <v>54152.25</v>
      </c>
      <c r="D213" s="10">
        <v>6.1000000000000004E-3</v>
      </c>
      <c r="E213" s="8">
        <v>19263</v>
      </c>
    </row>
    <row r="214" spans="1:5" x14ac:dyDescent="0.3">
      <c r="A214" s="5" t="s">
        <v>216</v>
      </c>
      <c r="B214" s="6">
        <v>59259.24</v>
      </c>
      <c r="C214" s="6">
        <v>54320.97</v>
      </c>
      <c r="D214" s="10">
        <v>3.0999999999999999E-3</v>
      </c>
      <c r="E214" s="8">
        <v>38152</v>
      </c>
    </row>
    <row r="215" spans="1:5" x14ac:dyDescent="0.3">
      <c r="A215" s="5" t="s">
        <v>217</v>
      </c>
      <c r="B215" s="6">
        <v>59047.55</v>
      </c>
      <c r="C215" s="6">
        <v>54126.92</v>
      </c>
      <c r="D215" s="9">
        <v>-3.5999999999999999E-3</v>
      </c>
      <c r="E215" s="8">
        <v>31714</v>
      </c>
    </row>
    <row r="216" spans="1:5" x14ac:dyDescent="0.3">
      <c r="A216" s="5" t="s">
        <v>218</v>
      </c>
      <c r="B216" s="6">
        <v>58944.28</v>
      </c>
      <c r="C216" s="6">
        <v>54032.26</v>
      </c>
      <c r="D216" s="9">
        <v>-1.6999999999999999E-3</v>
      </c>
      <c r="E216" s="8">
        <v>13775</v>
      </c>
    </row>
    <row r="217" spans="1:5" x14ac:dyDescent="0.3">
      <c r="A217" s="5" t="s">
        <v>219</v>
      </c>
      <c r="B217" s="6">
        <v>58563.57</v>
      </c>
      <c r="C217" s="6">
        <v>53683.27</v>
      </c>
      <c r="D217" s="9">
        <v>-6.4999999999999997E-3</v>
      </c>
      <c r="E217" s="8">
        <v>36620</v>
      </c>
    </row>
    <row r="218" spans="1:5" x14ac:dyDescent="0.3">
      <c r="A218" s="5" t="s">
        <v>220</v>
      </c>
      <c r="B218" s="6">
        <v>59144.57</v>
      </c>
      <c r="C218" s="6">
        <v>54215.86</v>
      </c>
      <c r="D218" s="10">
        <v>9.9000000000000008E-3</v>
      </c>
      <c r="E218" s="8">
        <v>14937</v>
      </c>
    </row>
    <row r="219" spans="1:5" x14ac:dyDescent="0.3">
      <c r="A219" s="5" t="s">
        <v>221</v>
      </c>
      <c r="B219" s="6">
        <v>59653.01</v>
      </c>
      <c r="C219" s="6">
        <v>54681.919999999998</v>
      </c>
      <c r="D219" s="10">
        <v>8.6E-3</v>
      </c>
      <c r="E219" s="8">
        <v>23945</v>
      </c>
    </row>
    <row r="220" spans="1:5" x14ac:dyDescent="0.3">
      <c r="A220" s="5" t="s">
        <v>222</v>
      </c>
      <c r="B220" s="6">
        <v>59281.33</v>
      </c>
      <c r="C220" s="6">
        <v>54341.22</v>
      </c>
      <c r="D220" s="9">
        <v>-6.1999999999999998E-3</v>
      </c>
      <c r="E220" s="8">
        <v>36552</v>
      </c>
    </row>
    <row r="221" spans="1:5" x14ac:dyDescent="0.3">
      <c r="A221" s="5" t="s">
        <v>223</v>
      </c>
      <c r="B221" s="6">
        <v>59423.93</v>
      </c>
      <c r="C221" s="6">
        <v>54471.94</v>
      </c>
      <c r="D221" s="10">
        <v>2.3999999999999998E-3</v>
      </c>
      <c r="E221" s="8">
        <v>34243</v>
      </c>
    </row>
    <row r="222" spans="1:5" x14ac:dyDescent="0.3">
      <c r="A222" s="5" t="s">
        <v>224</v>
      </c>
      <c r="B222" s="6">
        <v>59118.04</v>
      </c>
      <c r="C222" s="6">
        <v>54191.53</v>
      </c>
      <c r="D222" s="9">
        <v>-5.1000000000000004E-3</v>
      </c>
      <c r="E222" s="8">
        <v>13154</v>
      </c>
    </row>
    <row r="223" spans="1:5" x14ac:dyDescent="0.3">
      <c r="A223" s="5" t="s">
        <v>225</v>
      </c>
      <c r="B223" s="6">
        <v>58007.8</v>
      </c>
      <c r="C223" s="6">
        <v>53173.82</v>
      </c>
      <c r="D223" s="9">
        <v>-1.8800000000000001E-2</v>
      </c>
      <c r="E223" s="8">
        <v>33936</v>
      </c>
    </row>
    <row r="224" spans="1:5" x14ac:dyDescent="0.3">
      <c r="A224" s="5" t="s">
        <v>226</v>
      </c>
      <c r="B224" s="6">
        <v>58362.95</v>
      </c>
      <c r="C224" s="6">
        <v>53499.37</v>
      </c>
      <c r="D224" s="10">
        <v>6.1000000000000004E-3</v>
      </c>
      <c r="E224" s="8">
        <v>28334</v>
      </c>
    </row>
    <row r="225" spans="1:5" x14ac:dyDescent="0.3">
      <c r="A225" s="5" t="s">
        <v>227</v>
      </c>
      <c r="B225" s="6">
        <v>58480.21</v>
      </c>
      <c r="C225" s="6">
        <v>53606.86</v>
      </c>
      <c r="D225" s="10">
        <v>2E-3</v>
      </c>
      <c r="E225" s="8">
        <v>30250</v>
      </c>
    </row>
    <row r="226" spans="1:5" x14ac:dyDescent="0.3">
      <c r="A226" s="5" t="s">
        <v>228</v>
      </c>
      <c r="B226" s="6">
        <v>58592.98</v>
      </c>
      <c r="C226" s="6">
        <v>53710.23</v>
      </c>
      <c r="D226" s="10">
        <v>1.9E-3</v>
      </c>
      <c r="E226" s="8">
        <v>22520</v>
      </c>
    </row>
    <row r="227" spans="1:5" x14ac:dyDescent="0.3">
      <c r="A227" s="5" t="s">
        <v>229</v>
      </c>
      <c r="B227" s="6">
        <v>58784.27</v>
      </c>
      <c r="C227" s="6">
        <v>53885.58</v>
      </c>
      <c r="D227" s="10">
        <v>3.3E-3</v>
      </c>
      <c r="E227" s="8">
        <v>29827</v>
      </c>
    </row>
    <row r="228" spans="1:5" x14ac:dyDescent="0.3">
      <c r="A228" s="5" t="s">
        <v>230</v>
      </c>
      <c r="B228" s="6">
        <v>58586.44</v>
      </c>
      <c r="C228" s="6">
        <v>53704.24</v>
      </c>
      <c r="D228" s="9">
        <v>-3.3999999999999998E-3</v>
      </c>
      <c r="E228" s="8">
        <v>19018</v>
      </c>
    </row>
    <row r="229" spans="1:5" x14ac:dyDescent="0.3">
      <c r="A229" s="5" t="s">
        <v>231</v>
      </c>
      <c r="B229" s="6">
        <v>58960.22</v>
      </c>
      <c r="C229" s="6">
        <v>54046.87</v>
      </c>
      <c r="D229" s="10">
        <v>6.4000000000000003E-3</v>
      </c>
      <c r="E229" s="8">
        <v>13005</v>
      </c>
    </row>
    <row r="230" spans="1:5" x14ac:dyDescent="0.3">
      <c r="A230" s="5" t="s">
        <v>232</v>
      </c>
      <c r="B230" s="6">
        <v>59586.29</v>
      </c>
      <c r="C230" s="6">
        <v>54620.77</v>
      </c>
      <c r="D230" s="10">
        <v>1.06E-2</v>
      </c>
      <c r="E230" s="8">
        <v>41455</v>
      </c>
    </row>
    <row r="231" spans="1:5" x14ac:dyDescent="0.3">
      <c r="A231" s="5" t="s">
        <v>233</v>
      </c>
      <c r="B231" s="6">
        <v>59042.11</v>
      </c>
      <c r="C231" s="6">
        <v>54121.93</v>
      </c>
      <c r="D231" s="9">
        <v>-9.1000000000000004E-3</v>
      </c>
      <c r="E231" s="8">
        <v>15472</v>
      </c>
    </row>
    <row r="232" spans="1:5" x14ac:dyDescent="0.3">
      <c r="A232" s="5" t="s">
        <v>234</v>
      </c>
      <c r="B232" s="6">
        <v>59265.05</v>
      </c>
      <c r="C232" s="6">
        <v>54326.3</v>
      </c>
      <c r="D232" s="10">
        <v>3.8E-3</v>
      </c>
      <c r="E232" s="8">
        <v>41420</v>
      </c>
    </row>
    <row r="233" spans="1:5" x14ac:dyDescent="0.3">
      <c r="A233" s="5" t="s">
        <v>235</v>
      </c>
      <c r="B233" s="6">
        <v>59569.63</v>
      </c>
      <c r="C233" s="6">
        <v>54605.5</v>
      </c>
      <c r="D233" s="10">
        <v>5.1000000000000004E-3</v>
      </c>
      <c r="E233" s="8">
        <v>20707</v>
      </c>
    </row>
    <row r="234" spans="1:5" x14ac:dyDescent="0.3">
      <c r="A234" s="5" t="s">
        <v>236</v>
      </c>
      <c r="B234" s="6">
        <v>59860.57</v>
      </c>
      <c r="C234" s="6">
        <v>54872.19</v>
      </c>
      <c r="D234" s="10">
        <v>4.8999999999999998E-3</v>
      </c>
      <c r="E234" s="8">
        <v>30896</v>
      </c>
    </row>
    <row r="235" spans="1:5" x14ac:dyDescent="0.3">
      <c r="A235" s="5" t="s">
        <v>237</v>
      </c>
      <c r="B235" s="6">
        <v>59864.77</v>
      </c>
      <c r="C235" s="6">
        <v>54876.04</v>
      </c>
      <c r="D235" s="10">
        <v>1E-4</v>
      </c>
      <c r="E235" s="8">
        <v>31009</v>
      </c>
    </row>
    <row r="236" spans="1:5" x14ac:dyDescent="0.3">
      <c r="A236" s="5" t="s">
        <v>238</v>
      </c>
      <c r="B236" s="6">
        <v>60391.72</v>
      </c>
      <c r="C236" s="6">
        <v>55359.07</v>
      </c>
      <c r="D236" s="10">
        <v>8.8000000000000005E-3</v>
      </c>
      <c r="E236" s="8">
        <v>17679</v>
      </c>
    </row>
    <row r="237" spans="1:5" x14ac:dyDescent="0.3">
      <c r="A237" s="5" t="s">
        <v>239</v>
      </c>
      <c r="B237" s="6">
        <v>59972.56</v>
      </c>
      <c r="C237" s="6">
        <v>54974.84</v>
      </c>
      <c r="D237" s="9">
        <v>-6.8999999999999999E-3</v>
      </c>
      <c r="E237" s="8">
        <v>23484</v>
      </c>
    </row>
    <row r="238" spans="1:5" x14ac:dyDescent="0.3">
      <c r="A238" s="5" t="s">
        <v>240</v>
      </c>
      <c r="B238" s="6">
        <v>60244.13</v>
      </c>
      <c r="C238" s="6">
        <v>55223.78</v>
      </c>
      <c r="D238" s="10">
        <v>4.4999999999999997E-3</v>
      </c>
      <c r="E238" s="8">
        <v>14737</v>
      </c>
    </row>
    <row r="239" spans="1:5" x14ac:dyDescent="0.3">
      <c r="A239" s="5" t="s">
        <v>241</v>
      </c>
      <c r="B239" s="6">
        <v>60107.02</v>
      </c>
      <c r="C239" s="6">
        <v>55098.1</v>
      </c>
      <c r="D239" s="9">
        <v>-2.3E-3</v>
      </c>
      <c r="E239" s="8">
        <v>17597</v>
      </c>
    </row>
    <row r="240" spans="1:5" x14ac:dyDescent="0.3">
      <c r="A240" s="5" t="s">
        <v>242</v>
      </c>
      <c r="B240" s="6">
        <v>60423.96</v>
      </c>
      <c r="C240" s="6">
        <v>55388.63</v>
      </c>
      <c r="D240" s="10">
        <v>5.3E-3</v>
      </c>
      <c r="E240" s="8">
        <v>24775</v>
      </c>
    </row>
    <row r="241" spans="1:5" x14ac:dyDescent="0.3">
      <c r="A241" s="5" t="s">
        <v>243</v>
      </c>
      <c r="B241" s="6">
        <v>60466.57</v>
      </c>
      <c r="C241" s="6">
        <v>55427.69</v>
      </c>
      <c r="D241" s="10">
        <v>6.9999999999999999E-4</v>
      </c>
      <c r="E241" s="8">
        <v>20928</v>
      </c>
    </row>
    <row r="242" spans="1:5" x14ac:dyDescent="0.3">
      <c r="A242" s="5" t="s">
        <v>244</v>
      </c>
      <c r="B242" s="6">
        <v>60207.75</v>
      </c>
      <c r="C242" s="6">
        <v>55190.44</v>
      </c>
      <c r="D242" s="9">
        <v>-4.3E-3</v>
      </c>
      <c r="E242" s="8">
        <v>19370</v>
      </c>
    </row>
    <row r="243" spans="1:5" x14ac:dyDescent="0.3">
      <c r="A243" s="5" t="s">
        <v>245</v>
      </c>
      <c r="B243" s="6">
        <v>60422.38</v>
      </c>
      <c r="C243" s="6">
        <v>55387.18</v>
      </c>
      <c r="D243" s="10">
        <v>3.5999999999999999E-3</v>
      </c>
      <c r="E243" s="8">
        <v>18018</v>
      </c>
    </row>
    <row r="244" spans="1:5" x14ac:dyDescent="0.3">
      <c r="A244" s="5" t="s">
        <v>246</v>
      </c>
      <c r="B244" s="6">
        <v>61384.61</v>
      </c>
      <c r="C244" s="6">
        <v>56269.22</v>
      </c>
      <c r="D244" s="10">
        <v>1.5900000000000001E-2</v>
      </c>
      <c r="E244" s="8">
        <v>12938</v>
      </c>
    </row>
    <row r="245" spans="1:5" x14ac:dyDescent="0.3">
      <c r="A245" s="5" t="s">
        <v>247</v>
      </c>
      <c r="B245" s="6">
        <v>60388.07</v>
      </c>
      <c r="C245" s="6">
        <v>55355.73</v>
      </c>
      <c r="D245" s="9">
        <v>-1.6199999999999999E-2</v>
      </c>
      <c r="E245" s="8">
        <v>19609</v>
      </c>
    </row>
    <row r="246" spans="1:5" x14ac:dyDescent="0.3">
      <c r="A246" s="5" t="s">
        <v>248</v>
      </c>
      <c r="B246" s="6">
        <v>60884.28</v>
      </c>
      <c r="C246" s="6">
        <v>55810.59</v>
      </c>
      <c r="D246" s="10">
        <v>8.2000000000000007E-3</v>
      </c>
      <c r="E246" s="8">
        <v>40382</v>
      </c>
    </row>
    <row r="247" spans="1:5" x14ac:dyDescent="0.3">
      <c r="A247" s="5" t="s">
        <v>249</v>
      </c>
      <c r="B247" s="6">
        <v>61034.27</v>
      </c>
      <c r="C247" s="6">
        <v>55948.08</v>
      </c>
      <c r="D247" s="10">
        <v>2.5000000000000001E-3</v>
      </c>
      <c r="E247" s="8">
        <v>38405</v>
      </c>
    </row>
    <row r="248" spans="1:5" x14ac:dyDescent="0.3">
      <c r="A248" s="5" t="s">
        <v>250</v>
      </c>
      <c r="B248" s="6">
        <v>61444.29</v>
      </c>
      <c r="C248" s="6">
        <v>56323.93</v>
      </c>
      <c r="D248" s="10">
        <v>6.7000000000000002E-3</v>
      </c>
      <c r="E248" s="8">
        <v>37419</v>
      </c>
    </row>
    <row r="249" spans="1:5" x14ac:dyDescent="0.3">
      <c r="A249" s="5" t="s">
        <v>251</v>
      </c>
      <c r="B249" s="6">
        <v>61409.35</v>
      </c>
      <c r="C249" s="6">
        <v>56291.9</v>
      </c>
      <c r="D249" s="9">
        <v>-5.9999999999999995E-4</v>
      </c>
      <c r="E249" s="8">
        <v>29181</v>
      </c>
    </row>
    <row r="250" spans="1:5" x14ac:dyDescent="0.3">
      <c r="A250" s="5" t="s">
        <v>252</v>
      </c>
      <c r="B250" s="6">
        <v>61878.14</v>
      </c>
      <c r="C250" s="6">
        <v>56721.63</v>
      </c>
      <c r="D250" s="10">
        <v>7.6E-3</v>
      </c>
      <c r="E250" s="8">
        <v>28718</v>
      </c>
    </row>
    <row r="251" spans="1:5" x14ac:dyDescent="0.3">
      <c r="A251" s="5" t="s">
        <v>253</v>
      </c>
      <c r="B251" s="6">
        <v>61849.09</v>
      </c>
      <c r="C251" s="6">
        <v>56695</v>
      </c>
      <c r="D251" s="9">
        <v>-5.0000000000000001E-4</v>
      </c>
      <c r="E251" s="8">
        <v>17893</v>
      </c>
    </row>
    <row r="252" spans="1:5" x14ac:dyDescent="0.3">
      <c r="A252" s="5" t="s">
        <v>254</v>
      </c>
      <c r="B252" s="6">
        <v>61894.22</v>
      </c>
      <c r="C252" s="6">
        <v>56736.37</v>
      </c>
      <c r="D252" s="10">
        <v>6.9999999999999999E-4</v>
      </c>
      <c r="E252" s="8">
        <v>36820</v>
      </c>
    </row>
    <row r="253" spans="1:5" x14ac:dyDescent="0.3">
      <c r="A253" s="5" t="s">
        <v>255</v>
      </c>
      <c r="B253" s="6">
        <v>61744.83</v>
      </c>
      <c r="C253" s="6">
        <v>56599.42</v>
      </c>
      <c r="D253" s="9">
        <v>-2.3999999999999998E-3</v>
      </c>
      <c r="E253" s="8">
        <v>12475</v>
      </c>
    </row>
    <row r="254" spans="1:5" x14ac:dyDescent="0.3">
      <c r="A254" s="5" t="s">
        <v>256</v>
      </c>
      <c r="B254" s="6">
        <v>62449.78</v>
      </c>
      <c r="C254" s="6">
        <v>57245.63</v>
      </c>
      <c r="D254" s="10">
        <v>1.14E-2</v>
      </c>
      <c r="E254" s="8">
        <v>38731</v>
      </c>
    </row>
    <row r="255" spans="1:5" x14ac:dyDescent="0.3">
      <c r="A255" s="5" t="s">
        <v>257</v>
      </c>
      <c r="B255" s="6">
        <v>62538.76</v>
      </c>
      <c r="C255" s="6">
        <v>57327.199999999997</v>
      </c>
      <c r="D255" s="10">
        <v>1.4E-3</v>
      </c>
      <c r="E255" s="8">
        <v>36980</v>
      </c>
    </row>
    <row r="256" spans="1:5" x14ac:dyDescent="0.3">
      <c r="A256" s="5" t="s">
        <v>258</v>
      </c>
      <c r="B256" s="6">
        <v>62868.01</v>
      </c>
      <c r="C256" s="6">
        <v>57629.01</v>
      </c>
      <c r="D256" s="10">
        <v>5.3E-3</v>
      </c>
      <c r="E256" s="8">
        <v>27845</v>
      </c>
    </row>
    <row r="257" spans="1:5" x14ac:dyDescent="0.3">
      <c r="A257" s="5" t="s">
        <v>259</v>
      </c>
      <c r="B257" s="6">
        <v>62784.63</v>
      </c>
      <c r="C257" s="6">
        <v>57552.58</v>
      </c>
      <c r="D257" s="9">
        <v>-1.2999999999999999E-3</v>
      </c>
      <c r="E257" s="8">
        <v>26001</v>
      </c>
    </row>
    <row r="258" spans="1:5" x14ac:dyDescent="0.3">
      <c r="A258" s="5" t="s">
        <v>260</v>
      </c>
      <c r="B258" s="6">
        <v>62968.84</v>
      </c>
      <c r="C258" s="6">
        <v>57721.440000000002</v>
      </c>
      <c r="D258" s="10">
        <v>2.8999999999999998E-3</v>
      </c>
      <c r="E258" s="8">
        <v>11681</v>
      </c>
    </row>
    <row r="259" spans="1:5" x14ac:dyDescent="0.3">
      <c r="A259" s="5" t="s">
        <v>261</v>
      </c>
      <c r="B259" s="6">
        <v>62528.13</v>
      </c>
      <c r="C259" s="6">
        <v>57317.45</v>
      </c>
      <c r="D259" s="9">
        <v>-7.0000000000000001E-3</v>
      </c>
      <c r="E259" s="8">
        <v>31064</v>
      </c>
    </row>
    <row r="260" spans="1:5" x14ac:dyDescent="0.3">
      <c r="A260" s="5" t="s">
        <v>262</v>
      </c>
      <c r="B260" s="6">
        <v>62111.79</v>
      </c>
      <c r="C260" s="6">
        <v>56935.8</v>
      </c>
      <c r="D260" s="9">
        <v>-6.7000000000000002E-3</v>
      </c>
      <c r="E260" s="8">
        <v>41248</v>
      </c>
    </row>
    <row r="261" spans="1:5" x14ac:dyDescent="0.3">
      <c r="A261" s="5" t="s">
        <v>263</v>
      </c>
      <c r="B261" s="6">
        <v>62903.01</v>
      </c>
      <c r="C261" s="6">
        <v>57661.09</v>
      </c>
      <c r="D261" s="10">
        <v>1.2699999999999999E-2</v>
      </c>
      <c r="E261" s="8">
        <v>12862</v>
      </c>
    </row>
    <row r="262" spans="1:5" x14ac:dyDescent="0.3">
      <c r="A262" s="5" t="s">
        <v>264</v>
      </c>
      <c r="B262" s="6">
        <v>63199.98</v>
      </c>
      <c r="C262" s="6">
        <v>57933.32</v>
      </c>
      <c r="D262" s="10">
        <v>4.7000000000000002E-3</v>
      </c>
      <c r="E262" s="8">
        <v>28342</v>
      </c>
    </row>
    <row r="263" spans="1:5" x14ac:dyDescent="0.3">
      <c r="A263" s="5" t="s">
        <v>265</v>
      </c>
      <c r="B263" s="6">
        <v>63008.05</v>
      </c>
      <c r="C263" s="6">
        <v>57757.38</v>
      </c>
      <c r="D263" s="9">
        <v>-3.0000000000000001E-3</v>
      </c>
      <c r="E263" s="8">
        <v>38260</v>
      </c>
    </row>
    <row r="264" spans="1:5" x14ac:dyDescent="0.3">
      <c r="A264" s="5" t="s">
        <v>266</v>
      </c>
      <c r="B264" s="6">
        <v>62561.41</v>
      </c>
      <c r="C264" s="6">
        <v>57347.96</v>
      </c>
      <c r="D264" s="9">
        <v>-7.1000000000000004E-3</v>
      </c>
      <c r="E264" s="8">
        <v>37616</v>
      </c>
    </row>
    <row r="265" spans="1:5" x14ac:dyDescent="0.3">
      <c r="A265" s="5" t="s">
        <v>267</v>
      </c>
      <c r="B265" s="6">
        <v>62741.68</v>
      </c>
      <c r="C265" s="6">
        <v>57513.21</v>
      </c>
      <c r="D265" s="10">
        <v>2.8999999999999998E-3</v>
      </c>
      <c r="E265" s="8">
        <v>10464</v>
      </c>
    </row>
    <row r="266" spans="1:5" x14ac:dyDescent="0.3">
      <c r="A266" s="5" t="s">
        <v>268</v>
      </c>
      <c r="B266" s="6">
        <v>63304.480000000003</v>
      </c>
      <c r="C266" s="6">
        <v>58029.11</v>
      </c>
      <c r="D266" s="10">
        <v>8.9999999999999993E-3</v>
      </c>
      <c r="E266" s="8">
        <v>11728</v>
      </c>
    </row>
    <row r="267" spans="1:5" x14ac:dyDescent="0.3">
      <c r="A267" s="5" t="s">
        <v>269</v>
      </c>
      <c r="B267" s="6">
        <v>63824.52</v>
      </c>
      <c r="C267" s="6">
        <v>58505.81</v>
      </c>
      <c r="D267" s="10">
        <v>8.2000000000000007E-3</v>
      </c>
      <c r="E267" s="8">
        <v>32165</v>
      </c>
    </row>
    <row r="268" spans="1:5" x14ac:dyDescent="0.3">
      <c r="A268" s="5" t="s">
        <v>270</v>
      </c>
      <c r="B268" s="6">
        <v>64210.47</v>
      </c>
      <c r="C268" s="6">
        <v>58859.6</v>
      </c>
      <c r="D268" s="10">
        <v>6.0000000000000001E-3</v>
      </c>
      <c r="E268" s="8">
        <v>26813</v>
      </c>
    </row>
    <row r="269" spans="1:5" x14ac:dyDescent="0.3">
      <c r="A269" s="5" t="s">
        <v>271</v>
      </c>
      <c r="B269" s="6">
        <v>64075.46</v>
      </c>
      <c r="C269" s="6">
        <v>58735.83</v>
      </c>
      <c r="D269" s="9">
        <v>-2.0999999999999999E-3</v>
      </c>
      <c r="E269" s="8">
        <v>13028</v>
      </c>
    </row>
    <row r="270" spans="1:5" x14ac:dyDescent="0.3">
      <c r="A270" s="5" t="s">
        <v>272</v>
      </c>
      <c r="B270" s="6">
        <v>63921.67</v>
      </c>
      <c r="C270" s="6">
        <v>58594.87</v>
      </c>
      <c r="D270" s="9">
        <v>-2.3999999999999998E-3</v>
      </c>
      <c r="E270" s="8">
        <v>13917</v>
      </c>
    </row>
    <row r="271" spans="1:5" x14ac:dyDescent="0.3">
      <c r="A271" s="5" t="s">
        <v>273</v>
      </c>
      <c r="B271" s="6">
        <v>64729.37</v>
      </c>
      <c r="C271" s="6">
        <v>59335.26</v>
      </c>
      <c r="D271" s="10">
        <v>1.26E-2</v>
      </c>
      <c r="E271" s="8">
        <v>41231</v>
      </c>
    </row>
    <row r="272" spans="1:5" x14ac:dyDescent="0.3">
      <c r="A272" s="5" t="s">
        <v>274</v>
      </c>
      <c r="B272" s="6">
        <v>64873.69</v>
      </c>
      <c r="C272" s="6">
        <v>59467.55</v>
      </c>
      <c r="D272" s="10">
        <v>2.2000000000000001E-3</v>
      </c>
      <c r="E272" s="8">
        <v>33197</v>
      </c>
    </row>
    <row r="273" spans="1:5" x14ac:dyDescent="0.3">
      <c r="A273" s="5" t="s">
        <v>275</v>
      </c>
      <c r="B273" s="6">
        <v>64278.080000000002</v>
      </c>
      <c r="C273" s="6">
        <v>58921.57</v>
      </c>
      <c r="D273" s="9">
        <v>-9.1999999999999998E-3</v>
      </c>
      <c r="E273" s="8">
        <v>38324</v>
      </c>
    </row>
    <row r="274" spans="1:5" x14ac:dyDescent="0.3">
      <c r="A274" s="5" t="s">
        <v>276</v>
      </c>
      <c r="B274" s="6">
        <v>64810.32</v>
      </c>
      <c r="C274" s="6">
        <v>59409.46</v>
      </c>
      <c r="D274" s="10">
        <v>8.3000000000000001E-3</v>
      </c>
      <c r="E274" s="8">
        <v>10688</v>
      </c>
    </row>
    <row r="275" spans="1:5" x14ac:dyDescent="0.3">
      <c r="A275" s="5" t="s">
        <v>277</v>
      </c>
      <c r="B275" s="6">
        <v>65819.98</v>
      </c>
      <c r="C275" s="6">
        <v>60334.98</v>
      </c>
      <c r="D275" s="10">
        <v>1.5599999999999999E-2</v>
      </c>
      <c r="E275" s="8">
        <v>37473</v>
      </c>
    </row>
    <row r="276" spans="1:5" x14ac:dyDescent="0.3">
      <c r="A276" s="5" t="s">
        <v>278</v>
      </c>
      <c r="B276" s="6">
        <v>65681.09</v>
      </c>
      <c r="C276" s="6">
        <v>60207.66</v>
      </c>
      <c r="D276" s="9">
        <v>-2.0999999999999999E-3</v>
      </c>
      <c r="E276" s="8">
        <v>20336</v>
      </c>
    </row>
    <row r="277" spans="1:5" x14ac:dyDescent="0.3">
      <c r="A277" s="5" t="s">
        <v>279</v>
      </c>
      <c r="B277" s="6">
        <v>65597.8</v>
      </c>
      <c r="C277" s="6">
        <v>60131.31</v>
      </c>
      <c r="D277" s="9">
        <v>-1.2999999999999999E-3</v>
      </c>
      <c r="E277" s="8">
        <v>29071</v>
      </c>
    </row>
    <row r="278" spans="1:5" x14ac:dyDescent="0.3">
      <c r="A278" s="5" t="s">
        <v>280</v>
      </c>
      <c r="B278" s="6">
        <v>65722.09</v>
      </c>
      <c r="C278" s="6">
        <v>60245.25</v>
      </c>
      <c r="D278" s="10">
        <v>1.9E-3</v>
      </c>
      <c r="E278" s="8">
        <v>39170</v>
      </c>
    </row>
    <row r="279" spans="1:5" x14ac:dyDescent="0.3">
      <c r="A279" s="5" t="s">
        <v>281</v>
      </c>
      <c r="B279" s="6">
        <v>66537.45</v>
      </c>
      <c r="C279" s="6">
        <v>60992.66</v>
      </c>
      <c r="D279" s="10">
        <v>1.24E-2</v>
      </c>
      <c r="E279" s="8">
        <v>40857</v>
      </c>
    </row>
    <row r="280" spans="1:5" x14ac:dyDescent="0.3">
      <c r="A280" s="5" t="s">
        <v>282</v>
      </c>
      <c r="B280" s="6">
        <v>66566.759999999995</v>
      </c>
      <c r="C280" s="6">
        <v>61019.53</v>
      </c>
      <c r="D280" s="10">
        <v>4.0000000000000002E-4</v>
      </c>
      <c r="E280" s="8">
        <v>17886</v>
      </c>
    </row>
    <row r="281" spans="1:5" x14ac:dyDescent="0.3">
      <c r="A281" s="5" t="s">
        <v>283</v>
      </c>
      <c r="B281" s="6">
        <v>67350.95</v>
      </c>
      <c r="C281" s="6">
        <v>61738.37</v>
      </c>
      <c r="D281" s="10">
        <v>1.18E-2</v>
      </c>
      <c r="E281" s="8">
        <v>12054</v>
      </c>
    </row>
    <row r="282" spans="1:5" x14ac:dyDescent="0.3">
      <c r="A282" s="5" t="s">
        <v>284</v>
      </c>
      <c r="B282" s="6">
        <v>66722.84</v>
      </c>
      <c r="C282" s="6">
        <v>61162.6</v>
      </c>
      <c r="D282" s="9">
        <v>-9.2999999999999992E-3</v>
      </c>
      <c r="E282" s="8">
        <v>37525</v>
      </c>
    </row>
    <row r="283" spans="1:5" x14ac:dyDescent="0.3">
      <c r="A283" s="5" t="s">
        <v>285</v>
      </c>
      <c r="B283" s="6">
        <v>67005.27</v>
      </c>
      <c r="C283" s="6">
        <v>61421.5</v>
      </c>
      <c r="D283" s="10">
        <v>4.1999999999999997E-3</v>
      </c>
      <c r="E283" s="8">
        <v>14783</v>
      </c>
    </row>
    <row r="284" spans="1:5" x14ac:dyDescent="0.3">
      <c r="A284" s="5" t="s">
        <v>286</v>
      </c>
      <c r="B284" s="6">
        <v>67519.679999999993</v>
      </c>
      <c r="C284" s="6">
        <v>61893.04</v>
      </c>
      <c r="D284" s="10">
        <v>7.7000000000000002E-3</v>
      </c>
      <c r="E284" s="8">
        <v>30507</v>
      </c>
    </row>
    <row r="285" spans="1:5" x14ac:dyDescent="0.3">
      <c r="A285" s="5" t="s">
        <v>287</v>
      </c>
      <c r="B285" s="6">
        <v>67557.820000000007</v>
      </c>
      <c r="C285" s="6">
        <v>61928</v>
      </c>
      <c r="D285" s="10">
        <v>5.9999999999999995E-4</v>
      </c>
      <c r="E285" s="8">
        <v>13526</v>
      </c>
    </row>
    <row r="286" spans="1:5" x14ac:dyDescent="0.3">
      <c r="A286" s="5" t="s">
        <v>288</v>
      </c>
      <c r="B286" s="6">
        <v>68195.070000000007</v>
      </c>
      <c r="C286" s="6">
        <v>62512.15</v>
      </c>
      <c r="D286" s="10">
        <v>9.4000000000000004E-3</v>
      </c>
      <c r="E286" s="8">
        <v>41066</v>
      </c>
    </row>
    <row r="287" spans="1:5" x14ac:dyDescent="0.3">
      <c r="A287" s="5" t="s">
        <v>289</v>
      </c>
      <c r="B287" s="6">
        <v>67780.53</v>
      </c>
      <c r="C287" s="6">
        <v>62132.15</v>
      </c>
      <c r="D287" s="9">
        <v>-6.1000000000000004E-3</v>
      </c>
      <c r="E287" s="8">
        <v>19308</v>
      </c>
    </row>
    <row r="288" spans="1:5" x14ac:dyDescent="0.3">
      <c r="A288" s="5" t="s">
        <v>290</v>
      </c>
      <c r="B288" s="6">
        <v>67902.5</v>
      </c>
      <c r="C288" s="6">
        <v>62243.96</v>
      </c>
      <c r="D288" s="10">
        <v>1.8E-3</v>
      </c>
      <c r="E288" s="8">
        <v>10565</v>
      </c>
    </row>
    <row r="289" spans="1:5" x14ac:dyDescent="0.3">
      <c r="A289" s="5" t="s">
        <v>291</v>
      </c>
      <c r="B289" s="6">
        <v>67565.86</v>
      </c>
      <c r="C289" s="6">
        <v>61935.37</v>
      </c>
      <c r="D289" s="9">
        <v>-5.0000000000000001E-3</v>
      </c>
      <c r="E289" s="8">
        <v>24236</v>
      </c>
    </row>
    <row r="290" spans="1:5" x14ac:dyDescent="0.3">
      <c r="A290" s="5" t="s">
        <v>292</v>
      </c>
      <c r="B290" s="6">
        <v>68928.88</v>
      </c>
      <c r="C290" s="6">
        <v>63184.81</v>
      </c>
      <c r="D290" s="10">
        <v>2.0199999999999999E-2</v>
      </c>
      <c r="E290" s="8">
        <v>36688</v>
      </c>
    </row>
    <row r="291" spans="1:5" x14ac:dyDescent="0.3">
      <c r="A291" s="5" t="s">
        <v>293</v>
      </c>
      <c r="B291" s="6">
        <v>68888.92</v>
      </c>
      <c r="C291" s="6">
        <v>63148.17</v>
      </c>
      <c r="D291" s="9">
        <v>-5.9999999999999995E-4</v>
      </c>
      <c r="E291" s="8">
        <v>36797</v>
      </c>
    </row>
    <row r="292" spans="1:5" x14ac:dyDescent="0.3">
      <c r="A292" s="5" t="s">
        <v>294</v>
      </c>
      <c r="B292" s="6">
        <v>69597.64</v>
      </c>
      <c r="C292" s="6">
        <v>63797.84</v>
      </c>
      <c r="D292" s="10">
        <v>1.03E-2</v>
      </c>
      <c r="E292" s="8">
        <v>18403</v>
      </c>
    </row>
    <row r="293" spans="1:5" x14ac:dyDescent="0.3">
      <c r="A293" s="5" t="s">
        <v>295</v>
      </c>
      <c r="B293" s="6">
        <v>70582.559999999998</v>
      </c>
      <c r="C293" s="6">
        <v>64700.68</v>
      </c>
      <c r="D293" s="10">
        <v>1.4200000000000001E-2</v>
      </c>
      <c r="E293" s="8">
        <v>31848</v>
      </c>
    </row>
    <row r="294" spans="1:5" x14ac:dyDescent="0.3">
      <c r="A294" s="5" t="s">
        <v>296</v>
      </c>
      <c r="B294" s="6">
        <v>70465.41</v>
      </c>
      <c r="C294" s="6">
        <v>64593.29</v>
      </c>
      <c r="D294" s="9">
        <v>-1.6999999999999999E-3</v>
      </c>
      <c r="E294" s="8">
        <v>32435</v>
      </c>
    </row>
    <row r="295" spans="1:5" x14ac:dyDescent="0.3">
      <c r="A295" s="5" t="s">
        <v>297</v>
      </c>
      <c r="B295" s="6">
        <v>70138.23</v>
      </c>
      <c r="C295" s="6">
        <v>64293.37</v>
      </c>
      <c r="D295" s="9">
        <v>-4.5999999999999999E-3</v>
      </c>
      <c r="E295" s="8">
        <v>26539</v>
      </c>
    </row>
    <row r="296" spans="1:5" x14ac:dyDescent="0.3">
      <c r="A296" s="5" t="s">
        <v>298</v>
      </c>
      <c r="B296" s="6">
        <v>70672.55</v>
      </c>
      <c r="C296" s="6">
        <v>64783.17</v>
      </c>
      <c r="D296" s="10">
        <v>7.6E-3</v>
      </c>
      <c r="E296" s="8">
        <v>33389</v>
      </c>
    </row>
    <row r="297" spans="1:5" x14ac:dyDescent="0.3">
      <c r="A297" s="5" t="s">
        <v>299</v>
      </c>
      <c r="B297" s="6">
        <v>71102.84</v>
      </c>
      <c r="C297" s="6">
        <v>65177.599999999999</v>
      </c>
      <c r="D297" s="10">
        <v>6.1000000000000004E-3</v>
      </c>
      <c r="E297" s="8">
        <v>34789</v>
      </c>
    </row>
    <row r="298" spans="1:5" x14ac:dyDescent="0.3">
      <c r="A298" s="5" t="s">
        <v>300</v>
      </c>
      <c r="B298" s="6">
        <v>71243.14</v>
      </c>
      <c r="C298" s="6">
        <v>65306.21</v>
      </c>
      <c r="D298" s="10">
        <v>2E-3</v>
      </c>
      <c r="E298" s="8">
        <v>30175</v>
      </c>
    </row>
    <row r="299" spans="1:5" x14ac:dyDescent="0.3">
      <c r="A299" s="5" t="s">
        <v>301</v>
      </c>
      <c r="B299" s="6">
        <v>71877.91</v>
      </c>
      <c r="C299" s="6">
        <v>65888.08</v>
      </c>
      <c r="D299" s="10">
        <v>8.8999999999999999E-3</v>
      </c>
      <c r="E299" s="8">
        <v>11431</v>
      </c>
    </row>
    <row r="300" spans="1:5" x14ac:dyDescent="0.3">
      <c r="A300" s="5" t="s">
        <v>302</v>
      </c>
      <c r="B300" s="6">
        <v>72248.84</v>
      </c>
      <c r="C300" s="6">
        <v>66228.11</v>
      </c>
      <c r="D300" s="10">
        <v>5.1999999999999998E-3</v>
      </c>
      <c r="E300" s="8">
        <v>29931</v>
      </c>
    </row>
    <row r="301" spans="1:5" x14ac:dyDescent="0.3">
      <c r="A301" s="5" t="s">
        <v>303</v>
      </c>
      <c r="B301" s="6">
        <v>71990.78</v>
      </c>
      <c r="C301" s="6">
        <v>65991.55</v>
      </c>
      <c r="D301" s="9">
        <v>-3.5999999999999999E-3</v>
      </c>
      <c r="E301" s="8">
        <v>12319</v>
      </c>
    </row>
    <row r="302" spans="1:5" x14ac:dyDescent="0.3">
      <c r="A302" s="5" t="s">
        <v>304</v>
      </c>
      <c r="B302" s="6">
        <v>71913.88</v>
      </c>
      <c r="C302" s="6">
        <v>65921.06</v>
      </c>
      <c r="D302" s="9">
        <v>-1.1000000000000001E-3</v>
      </c>
      <c r="E302" s="8">
        <v>29606</v>
      </c>
    </row>
    <row r="303" spans="1:5" x14ac:dyDescent="0.3">
      <c r="A303" s="5" t="s">
        <v>305</v>
      </c>
      <c r="B303" s="6">
        <v>71460.37</v>
      </c>
      <c r="C303" s="6">
        <v>65505.34</v>
      </c>
      <c r="D303" s="9">
        <v>-6.3E-3</v>
      </c>
      <c r="E303" s="8">
        <v>14193</v>
      </c>
    </row>
    <row r="304" spans="1:5" x14ac:dyDescent="0.3">
      <c r="A304" s="5" t="s">
        <v>306</v>
      </c>
      <c r="B304" s="6">
        <v>71156.399999999994</v>
      </c>
      <c r="C304" s="6">
        <v>65226.7</v>
      </c>
      <c r="D304" s="9">
        <v>-4.3E-3</v>
      </c>
      <c r="E304" s="8">
        <v>33333</v>
      </c>
    </row>
    <row r="305" spans="1:5" x14ac:dyDescent="0.3">
      <c r="A305" s="5" t="s">
        <v>307</v>
      </c>
      <c r="B305" s="6">
        <v>70207.649999999994</v>
      </c>
      <c r="C305" s="6">
        <v>64357.01</v>
      </c>
      <c r="D305" s="9">
        <v>-1.3299999999999999E-2</v>
      </c>
      <c r="E305" s="8">
        <v>26621</v>
      </c>
    </row>
    <row r="306" spans="1:5" x14ac:dyDescent="0.3">
      <c r="A306" s="5" t="s">
        <v>308</v>
      </c>
      <c r="B306" s="6">
        <v>70660.42</v>
      </c>
      <c r="C306" s="6">
        <v>64772.05</v>
      </c>
      <c r="D306" s="10">
        <v>6.4000000000000003E-3</v>
      </c>
      <c r="E306" s="8">
        <v>24514</v>
      </c>
    </row>
    <row r="307" spans="1:5" x14ac:dyDescent="0.3">
      <c r="A307" s="5" t="s">
        <v>309</v>
      </c>
      <c r="B307" s="6">
        <v>70735.23</v>
      </c>
      <c r="C307" s="6">
        <v>64840.63</v>
      </c>
      <c r="D307" s="10">
        <v>1.1000000000000001E-3</v>
      </c>
      <c r="E307" s="8">
        <v>17854</v>
      </c>
    </row>
    <row r="308" spans="1:5" x14ac:dyDescent="0.3">
      <c r="A308" s="5" t="s">
        <v>310</v>
      </c>
      <c r="B308" s="6">
        <v>70144.09</v>
      </c>
      <c r="C308" s="6">
        <v>64298.75</v>
      </c>
      <c r="D308" s="9">
        <v>-8.3999999999999995E-3</v>
      </c>
      <c r="E308" s="8">
        <v>29847</v>
      </c>
    </row>
    <row r="309" spans="1:5" x14ac:dyDescent="0.3">
      <c r="A309" s="5" t="s">
        <v>311</v>
      </c>
      <c r="B309" s="6">
        <v>69896.62</v>
      </c>
      <c r="C309" s="6">
        <v>64071.91</v>
      </c>
      <c r="D309" s="9">
        <v>-3.5000000000000001E-3</v>
      </c>
      <c r="E309" s="8">
        <v>13341</v>
      </c>
    </row>
    <row r="310" spans="1:5" x14ac:dyDescent="0.3">
      <c r="A310" s="5" t="s">
        <v>312</v>
      </c>
      <c r="B310" s="6">
        <v>70020.03</v>
      </c>
      <c r="C310" s="6">
        <v>64185.02</v>
      </c>
      <c r="D310" s="10">
        <v>1.8E-3</v>
      </c>
      <c r="E310" s="8">
        <v>17268</v>
      </c>
    </row>
    <row r="311" spans="1:5" x14ac:dyDescent="0.3">
      <c r="A311" s="5" t="s">
        <v>313</v>
      </c>
      <c r="B311" s="6">
        <v>69736.070000000007</v>
      </c>
      <c r="C311" s="6">
        <v>63924.73</v>
      </c>
      <c r="D311" s="9">
        <v>-4.1000000000000003E-3</v>
      </c>
      <c r="E311" s="8">
        <v>30925</v>
      </c>
    </row>
    <row r="312" spans="1:5" x14ac:dyDescent="0.3">
      <c r="A312" s="5" t="s">
        <v>314</v>
      </c>
      <c r="B312" s="6">
        <v>69619.62</v>
      </c>
      <c r="C312" s="6">
        <v>63817.99</v>
      </c>
      <c r="D312" s="9">
        <v>-1.6999999999999999E-3</v>
      </c>
      <c r="E312" s="8">
        <v>28331</v>
      </c>
    </row>
    <row r="313" spans="1:5" x14ac:dyDescent="0.3">
      <c r="A313" s="5" t="s">
        <v>315</v>
      </c>
      <c r="B313" s="6">
        <v>69980.960000000006</v>
      </c>
      <c r="C313" s="6">
        <v>64149.21</v>
      </c>
      <c r="D313" s="10">
        <v>5.1999999999999998E-3</v>
      </c>
      <c r="E313" s="8">
        <v>33687</v>
      </c>
    </row>
    <row r="314" spans="1:5" x14ac:dyDescent="0.3">
      <c r="A314" s="5" t="s">
        <v>316</v>
      </c>
      <c r="B314" s="6">
        <v>69706.16</v>
      </c>
      <c r="C314" s="6">
        <v>63897.31</v>
      </c>
      <c r="D314" s="9">
        <v>-3.8999999999999998E-3</v>
      </c>
      <c r="E314" s="8">
        <v>16450</v>
      </c>
    </row>
    <row r="315" spans="1:5" x14ac:dyDescent="0.3">
      <c r="A315" s="5" t="s">
        <v>317</v>
      </c>
      <c r="B315" s="6">
        <v>69593.649999999994</v>
      </c>
      <c r="C315" s="6">
        <v>63794.18</v>
      </c>
      <c r="D315" s="9">
        <v>-1.6000000000000001E-3</v>
      </c>
      <c r="E315" s="8">
        <v>13552</v>
      </c>
    </row>
    <row r="316" spans="1:5" x14ac:dyDescent="0.3">
      <c r="A316" s="5" t="s">
        <v>318</v>
      </c>
      <c r="B316" s="6">
        <v>69462.45</v>
      </c>
      <c r="C316" s="6">
        <v>63673.91</v>
      </c>
      <c r="D316" s="9">
        <v>-1.9E-3</v>
      </c>
      <c r="E316" s="8">
        <v>28288</v>
      </c>
    </row>
    <row r="317" spans="1:5" x14ac:dyDescent="0.3">
      <c r="A317" s="5" t="s">
        <v>319</v>
      </c>
      <c r="B317" s="6">
        <v>69881.39</v>
      </c>
      <c r="C317" s="6">
        <v>64057.94</v>
      </c>
      <c r="D317" s="10">
        <v>6.0000000000000001E-3</v>
      </c>
      <c r="E317" s="8">
        <v>32686</v>
      </c>
    </row>
    <row r="318" spans="1:5" x14ac:dyDescent="0.3">
      <c r="A318" s="5" t="s">
        <v>320</v>
      </c>
      <c r="B318" s="6">
        <v>69865.09</v>
      </c>
      <c r="C318" s="6">
        <v>64043</v>
      </c>
      <c r="D318" s="9">
        <v>-2.0000000000000001E-4</v>
      </c>
      <c r="E318" s="8">
        <v>29527</v>
      </c>
    </row>
    <row r="319" spans="1:5" x14ac:dyDescent="0.3">
      <c r="A319" s="5" t="s">
        <v>321</v>
      </c>
      <c r="B319" s="6">
        <v>70257.78</v>
      </c>
      <c r="C319" s="6">
        <v>64402.96</v>
      </c>
      <c r="D319" s="10">
        <v>5.5999999999999999E-3</v>
      </c>
      <c r="E319" s="8">
        <v>16375</v>
      </c>
    </row>
    <row r="320" spans="1:5" x14ac:dyDescent="0.3">
      <c r="A320" s="5" t="s">
        <v>322</v>
      </c>
      <c r="B320" s="6">
        <v>70636.600000000006</v>
      </c>
      <c r="C320" s="6">
        <v>64750.22</v>
      </c>
      <c r="D320" s="10">
        <v>5.4000000000000003E-3</v>
      </c>
      <c r="E320" s="8">
        <v>14124</v>
      </c>
    </row>
    <row r="321" spans="1:5" x14ac:dyDescent="0.3">
      <c r="A321" s="5" t="s">
        <v>323</v>
      </c>
      <c r="B321" s="6">
        <v>70579.16</v>
      </c>
      <c r="C321" s="6">
        <v>64697.57</v>
      </c>
      <c r="D321" s="9">
        <v>-8.0000000000000004E-4</v>
      </c>
      <c r="E321" s="8">
        <v>35748</v>
      </c>
    </row>
    <row r="322" spans="1:5" x14ac:dyDescent="0.3">
      <c r="A322" s="5" t="s">
        <v>324</v>
      </c>
      <c r="B322" s="6">
        <v>70984.210000000006</v>
      </c>
      <c r="C322" s="6">
        <v>65068.86</v>
      </c>
      <c r="D322" s="10">
        <v>5.7000000000000002E-3</v>
      </c>
      <c r="E322" s="8">
        <v>41324</v>
      </c>
    </row>
    <row r="323" spans="1:5" x14ac:dyDescent="0.3">
      <c r="A323" s="5" t="s">
        <v>325</v>
      </c>
      <c r="B323" s="6">
        <v>71000.399999999994</v>
      </c>
      <c r="C323" s="6">
        <v>65083.7</v>
      </c>
      <c r="D323" s="10">
        <v>2.0000000000000001E-4</v>
      </c>
      <c r="E323" s="8">
        <v>31712</v>
      </c>
    </row>
    <row r="324" spans="1:5" x14ac:dyDescent="0.3">
      <c r="A324" s="5" t="s">
        <v>326</v>
      </c>
      <c r="B324" s="6">
        <v>71245.06</v>
      </c>
      <c r="C324" s="6">
        <v>65307.98</v>
      </c>
      <c r="D324" s="10">
        <v>3.3999999999999998E-3</v>
      </c>
      <c r="E324" s="8">
        <v>9194</v>
      </c>
    </row>
    <row r="325" spans="1:5" x14ac:dyDescent="0.3">
      <c r="A325" s="5" t="s">
        <v>327</v>
      </c>
      <c r="B325" s="6">
        <v>71367.09</v>
      </c>
      <c r="C325" s="6">
        <v>65419.83</v>
      </c>
      <c r="D325" s="10">
        <v>1.6999999999999999E-3</v>
      </c>
      <c r="E325" s="8">
        <v>31763</v>
      </c>
    </row>
    <row r="326" spans="1:5" x14ac:dyDescent="0.3">
      <c r="A326" s="5" t="s">
        <v>328</v>
      </c>
      <c r="B326" s="6">
        <v>71168.63</v>
      </c>
      <c r="C326" s="6">
        <v>65237.91</v>
      </c>
      <c r="D326" s="9">
        <v>-2.8E-3</v>
      </c>
      <c r="E326" s="8">
        <v>28241</v>
      </c>
    </row>
    <row r="327" spans="1:5" x14ac:dyDescent="0.3">
      <c r="A327" s="5" t="s">
        <v>329</v>
      </c>
      <c r="B327" s="6">
        <v>71832.72</v>
      </c>
      <c r="C327" s="6">
        <v>65846.66</v>
      </c>
      <c r="D327" s="10">
        <v>9.2999999999999992E-3</v>
      </c>
      <c r="E327" s="8">
        <v>19813</v>
      </c>
    </row>
    <row r="328" spans="1:5" x14ac:dyDescent="0.3">
      <c r="A328" s="5" t="s">
        <v>330</v>
      </c>
      <c r="B328" s="6">
        <v>72501.91</v>
      </c>
      <c r="C328" s="6">
        <v>66460.09</v>
      </c>
      <c r="D328" s="10">
        <v>9.2999999999999992E-3</v>
      </c>
      <c r="E328" s="8">
        <v>22037</v>
      </c>
    </row>
    <row r="329" spans="1:5" x14ac:dyDescent="0.3">
      <c r="A329" s="5" t="s">
        <v>331</v>
      </c>
      <c r="B329" s="6">
        <v>72545.600000000006</v>
      </c>
      <c r="C329" s="6">
        <v>66500.13</v>
      </c>
      <c r="D329" s="10">
        <v>5.9999999999999995E-4</v>
      </c>
      <c r="E329" s="8">
        <v>30395</v>
      </c>
    </row>
    <row r="330" spans="1:5" x14ac:dyDescent="0.3">
      <c r="A330" s="5" t="s">
        <v>332</v>
      </c>
      <c r="B330" s="6">
        <v>72701.08</v>
      </c>
      <c r="C330" s="6">
        <v>66642.649999999994</v>
      </c>
      <c r="D330" s="10">
        <v>2.0999999999999999E-3</v>
      </c>
      <c r="E330" s="8">
        <v>39868</v>
      </c>
    </row>
    <row r="331" spans="1:5" x14ac:dyDescent="0.3">
      <c r="A331" s="5" t="s">
        <v>333</v>
      </c>
      <c r="B331" s="6">
        <v>73304.61</v>
      </c>
      <c r="C331" s="6">
        <v>67195.89</v>
      </c>
      <c r="D331" s="10">
        <v>8.3000000000000001E-3</v>
      </c>
      <c r="E331" s="8">
        <v>20583</v>
      </c>
    </row>
    <row r="332" spans="1:5" x14ac:dyDescent="0.3">
      <c r="A332" s="5" t="s">
        <v>334</v>
      </c>
      <c r="B332" s="6">
        <v>73310.73</v>
      </c>
      <c r="C332" s="6">
        <v>67201.5</v>
      </c>
      <c r="D332" s="10">
        <v>1E-4</v>
      </c>
      <c r="E332" s="8">
        <v>22846</v>
      </c>
    </row>
    <row r="333" spans="1:5" x14ac:dyDescent="0.3">
      <c r="A333" s="5" t="s">
        <v>335</v>
      </c>
      <c r="B333" s="6">
        <v>73497.64</v>
      </c>
      <c r="C333" s="6">
        <v>67372.84</v>
      </c>
      <c r="D333" s="10">
        <v>2.5000000000000001E-3</v>
      </c>
      <c r="E333" s="8">
        <v>17015</v>
      </c>
    </row>
    <row r="334" spans="1:5" x14ac:dyDescent="0.3">
      <c r="A334" s="5" t="s">
        <v>336</v>
      </c>
      <c r="B334" s="6">
        <v>73758.11</v>
      </c>
      <c r="C334" s="6">
        <v>67611.600000000006</v>
      </c>
      <c r="D334" s="10">
        <v>3.5000000000000001E-3</v>
      </c>
      <c r="E334" s="8">
        <v>18154</v>
      </c>
    </row>
    <row r="335" spans="1:5" x14ac:dyDescent="0.3">
      <c r="A335" s="5" t="s">
        <v>337</v>
      </c>
      <c r="B335" s="6">
        <v>73460.28</v>
      </c>
      <c r="C335" s="6">
        <v>67338.59</v>
      </c>
      <c r="D335" s="9">
        <v>-4.0000000000000001E-3</v>
      </c>
      <c r="E335" s="8">
        <v>13057</v>
      </c>
    </row>
    <row r="336" spans="1:5" x14ac:dyDescent="0.3">
      <c r="A336" s="5" t="s">
        <v>338</v>
      </c>
      <c r="B336" s="6">
        <v>73406.179999999993</v>
      </c>
      <c r="C336" s="6">
        <v>67289</v>
      </c>
      <c r="D336" s="9">
        <v>-6.9999999999999999E-4</v>
      </c>
      <c r="E336" s="8">
        <v>27385</v>
      </c>
    </row>
    <row r="337" spans="1:5" x14ac:dyDescent="0.3">
      <c r="A337" s="5" t="s">
        <v>339</v>
      </c>
      <c r="B337" s="6">
        <v>73490.95</v>
      </c>
      <c r="C337" s="6">
        <v>67366.7</v>
      </c>
      <c r="D337" s="10">
        <v>1.1999999999999999E-3</v>
      </c>
      <c r="E337" s="8">
        <v>14628</v>
      </c>
    </row>
    <row r="338" spans="1:5" x14ac:dyDescent="0.3">
      <c r="A338" s="5" t="s">
        <v>340</v>
      </c>
      <c r="B338" s="6">
        <v>74467.16</v>
      </c>
      <c r="C338" s="6">
        <v>68261.56</v>
      </c>
      <c r="D338" s="10">
        <v>1.3299999999999999E-2</v>
      </c>
      <c r="E338" s="8">
        <v>41271</v>
      </c>
    </row>
    <row r="339" spans="1:5" x14ac:dyDescent="0.3">
      <c r="A339" s="5" t="s">
        <v>341</v>
      </c>
      <c r="B339" s="6">
        <v>74325.179999999993</v>
      </c>
      <c r="C339" s="6">
        <v>68131.42</v>
      </c>
      <c r="D339" s="9">
        <v>-1.9E-3</v>
      </c>
      <c r="E339" s="8">
        <v>10473</v>
      </c>
    </row>
    <row r="340" spans="1:5" x14ac:dyDescent="0.3">
      <c r="A340" s="5" t="s">
        <v>342</v>
      </c>
      <c r="B340" s="6">
        <v>74187.199999999997</v>
      </c>
      <c r="C340" s="6">
        <v>68004.929999999993</v>
      </c>
      <c r="D340" s="9">
        <v>-1.9E-3</v>
      </c>
      <c r="E340" s="8">
        <v>30070</v>
      </c>
    </row>
    <row r="341" spans="1:5" x14ac:dyDescent="0.3">
      <c r="A341" s="5" t="s">
        <v>343</v>
      </c>
      <c r="B341" s="6">
        <v>73707.960000000006</v>
      </c>
      <c r="C341" s="6">
        <v>67565.63</v>
      </c>
      <c r="D341" s="9">
        <v>-6.4999999999999997E-3</v>
      </c>
      <c r="E341" s="8">
        <v>16588</v>
      </c>
    </row>
    <row r="342" spans="1:5" x14ac:dyDescent="0.3">
      <c r="A342" s="5" t="s">
        <v>344</v>
      </c>
      <c r="B342" s="6">
        <v>74625.86</v>
      </c>
      <c r="C342" s="6">
        <v>68407.039999999994</v>
      </c>
      <c r="D342" s="10">
        <v>1.2500000000000001E-2</v>
      </c>
      <c r="E342" s="8">
        <v>32688</v>
      </c>
    </row>
    <row r="343" spans="1:5" x14ac:dyDescent="0.3">
      <c r="A343" s="5" t="s">
        <v>345</v>
      </c>
      <c r="B343" s="6">
        <v>74771.820000000007</v>
      </c>
      <c r="C343" s="6">
        <v>68540.84</v>
      </c>
      <c r="D343" s="10">
        <v>2E-3</v>
      </c>
      <c r="E343" s="8">
        <v>18109</v>
      </c>
    </row>
    <row r="344" spans="1:5" x14ac:dyDescent="0.3">
      <c r="A344" s="5" t="s">
        <v>346</v>
      </c>
      <c r="B344" s="6">
        <v>75422.95</v>
      </c>
      <c r="C344" s="6">
        <v>69137.710000000006</v>
      </c>
      <c r="D344" s="10">
        <v>8.6999999999999994E-3</v>
      </c>
      <c r="E344" s="8">
        <v>18633</v>
      </c>
    </row>
    <row r="345" spans="1:5" x14ac:dyDescent="0.3">
      <c r="A345" s="5" t="s">
        <v>347</v>
      </c>
      <c r="B345" s="6">
        <v>75295.67</v>
      </c>
      <c r="C345" s="6">
        <v>69021.03</v>
      </c>
      <c r="D345" s="9">
        <v>-1.6999999999999999E-3</v>
      </c>
      <c r="E345" s="8">
        <v>19851</v>
      </c>
    </row>
    <row r="346" spans="1:5" x14ac:dyDescent="0.3">
      <c r="A346" s="5" t="s">
        <v>348</v>
      </c>
      <c r="B346" s="6">
        <v>75322.94</v>
      </c>
      <c r="C346" s="6">
        <v>69046.03</v>
      </c>
      <c r="D346" s="10">
        <v>4.0000000000000002E-4</v>
      </c>
      <c r="E346" s="8">
        <v>18848</v>
      </c>
    </row>
    <row r="347" spans="1:5" x14ac:dyDescent="0.3">
      <c r="A347" s="5" t="s">
        <v>349</v>
      </c>
      <c r="B347" s="6">
        <v>76053.8</v>
      </c>
      <c r="C347" s="6">
        <v>69715.990000000005</v>
      </c>
      <c r="D347" s="10">
        <v>9.7000000000000003E-3</v>
      </c>
      <c r="E347" s="8">
        <v>36683</v>
      </c>
    </row>
    <row r="348" spans="1:5" x14ac:dyDescent="0.3">
      <c r="A348" s="5" t="s">
        <v>350</v>
      </c>
      <c r="B348" s="6">
        <v>75377.240000000005</v>
      </c>
      <c r="C348" s="6">
        <v>69095.8</v>
      </c>
      <c r="D348" s="9">
        <v>-8.8999999999999999E-3</v>
      </c>
      <c r="E348" s="8">
        <v>10863</v>
      </c>
    </row>
    <row r="349" spans="1:5" x14ac:dyDescent="0.3">
      <c r="A349" s="5" t="s">
        <v>351</v>
      </c>
      <c r="B349" s="6">
        <v>74990.27</v>
      </c>
      <c r="C349" s="6">
        <v>68741.08</v>
      </c>
      <c r="D349" s="9">
        <v>-5.1000000000000004E-3</v>
      </c>
      <c r="E349" s="8">
        <v>34926</v>
      </c>
    </row>
    <row r="350" spans="1:5" x14ac:dyDescent="0.3">
      <c r="A350" s="5" t="s">
        <v>352</v>
      </c>
      <c r="B350" s="6">
        <v>74861.22</v>
      </c>
      <c r="C350" s="6">
        <v>68622.789999999994</v>
      </c>
      <c r="D350" s="9">
        <v>-1.6999999999999999E-3</v>
      </c>
      <c r="E350" s="8">
        <v>31874</v>
      </c>
    </row>
    <row r="351" spans="1:5" x14ac:dyDescent="0.3">
      <c r="A351" s="5" t="s">
        <v>353</v>
      </c>
      <c r="B351" s="6">
        <v>74659.009999999995</v>
      </c>
      <c r="C351" s="6">
        <v>68437.429999999993</v>
      </c>
      <c r="D351" s="9">
        <v>-2.7000000000000001E-3</v>
      </c>
      <c r="E351" s="8">
        <v>23566</v>
      </c>
    </row>
    <row r="352" spans="1:5" x14ac:dyDescent="0.3">
      <c r="A352" s="5" t="s">
        <v>354</v>
      </c>
      <c r="B352" s="6">
        <v>75601.61</v>
      </c>
      <c r="C352" s="6">
        <v>69301.48</v>
      </c>
      <c r="D352" s="10">
        <v>1.26E-2</v>
      </c>
      <c r="E352" s="8">
        <v>37111</v>
      </c>
    </row>
    <row r="353" spans="1:5" x14ac:dyDescent="0.3">
      <c r="A353" s="5" t="s">
        <v>355</v>
      </c>
      <c r="B353" s="6">
        <v>75537.009999999995</v>
      </c>
      <c r="C353" s="6">
        <v>69242.259999999995</v>
      </c>
      <c r="D353" s="9">
        <v>-8.9999999999999998E-4</v>
      </c>
      <c r="E353" s="8">
        <v>26673</v>
      </c>
    </row>
    <row r="354" spans="1:5" x14ac:dyDescent="0.3">
      <c r="A354" s="5" t="s">
        <v>356</v>
      </c>
      <c r="B354" s="6">
        <v>76212.570000000007</v>
      </c>
      <c r="C354" s="6">
        <v>69861.53</v>
      </c>
      <c r="D354" s="10">
        <v>8.8999999999999999E-3</v>
      </c>
      <c r="E354" s="8">
        <v>37420</v>
      </c>
    </row>
    <row r="355" spans="1:5" x14ac:dyDescent="0.3">
      <c r="A355" s="5" t="s">
        <v>357</v>
      </c>
      <c r="B355" s="6">
        <v>76927.990000000005</v>
      </c>
      <c r="C355" s="6">
        <v>70517.320000000007</v>
      </c>
      <c r="D355" s="10">
        <v>9.4000000000000004E-3</v>
      </c>
      <c r="E355" s="8">
        <v>23335</v>
      </c>
    </row>
    <row r="356" spans="1:5" x14ac:dyDescent="0.3">
      <c r="A356" s="5" t="s">
        <v>358</v>
      </c>
      <c r="B356" s="6">
        <v>76566.649999999994</v>
      </c>
      <c r="C356" s="6">
        <v>70186.09</v>
      </c>
      <c r="D356" s="9">
        <v>-4.7000000000000002E-3</v>
      </c>
      <c r="E356" s="8">
        <v>23674</v>
      </c>
    </row>
    <row r="357" spans="1:5" x14ac:dyDescent="0.3">
      <c r="A357" s="5" t="s">
        <v>359</v>
      </c>
      <c r="B357" s="6">
        <v>77086.17</v>
      </c>
      <c r="C357" s="6">
        <v>70662.320000000007</v>
      </c>
      <c r="D357" s="10">
        <v>6.7999999999999996E-3</v>
      </c>
      <c r="E357" s="8">
        <v>28281</v>
      </c>
    </row>
    <row r="358" spans="1:5" x14ac:dyDescent="0.3">
      <c r="A358" s="5" t="s">
        <v>360</v>
      </c>
      <c r="B358" s="6">
        <v>77045.22</v>
      </c>
      <c r="C358" s="6">
        <v>70624.78</v>
      </c>
      <c r="D358" s="9">
        <v>-5.0000000000000001E-4</v>
      </c>
      <c r="E358" s="8">
        <v>38737</v>
      </c>
    </row>
    <row r="359" spans="1:5" x14ac:dyDescent="0.3">
      <c r="A359" s="5" t="s">
        <v>361</v>
      </c>
      <c r="B359" s="6">
        <v>77193.75</v>
      </c>
      <c r="C359" s="6">
        <v>70760.929999999993</v>
      </c>
      <c r="D359" s="10">
        <v>1.9E-3</v>
      </c>
      <c r="E359" s="8">
        <v>20715</v>
      </c>
    </row>
    <row r="360" spans="1:5" x14ac:dyDescent="0.3">
      <c r="A360" s="5" t="s">
        <v>362</v>
      </c>
      <c r="B360" s="6">
        <v>77845.5</v>
      </c>
      <c r="C360" s="6">
        <v>71358.37</v>
      </c>
      <c r="D360" s="10">
        <v>8.3999999999999995E-3</v>
      </c>
      <c r="E360" s="8">
        <v>32106</v>
      </c>
    </row>
    <row r="361" spans="1:5" x14ac:dyDescent="0.3">
      <c r="A361" s="5" t="s">
        <v>363</v>
      </c>
      <c r="B361" s="6">
        <v>78039.039999999994</v>
      </c>
      <c r="C361" s="6">
        <v>71535.789999999994</v>
      </c>
      <c r="D361" s="10">
        <v>2.5000000000000001E-3</v>
      </c>
      <c r="E361" s="8">
        <v>36874</v>
      </c>
    </row>
    <row r="362" spans="1:5" x14ac:dyDescent="0.3">
      <c r="A362" s="5" t="s">
        <v>364</v>
      </c>
      <c r="B362" s="6">
        <v>78930.19</v>
      </c>
      <c r="C362" s="6">
        <v>72352.67</v>
      </c>
      <c r="D362" s="10">
        <v>1.14E-2</v>
      </c>
      <c r="E362" s="8">
        <v>38256</v>
      </c>
    </row>
    <row r="363" spans="1:5" x14ac:dyDescent="0.3">
      <c r="A363" s="5" t="s">
        <v>365</v>
      </c>
      <c r="B363" s="6">
        <v>79386.28</v>
      </c>
      <c r="C363" s="6">
        <v>72770.759999999995</v>
      </c>
      <c r="D363" s="10">
        <v>5.7999999999999996E-3</v>
      </c>
      <c r="E363" s="8">
        <v>26466</v>
      </c>
    </row>
    <row r="364" spans="1:5" x14ac:dyDescent="0.3">
      <c r="A364" s="5" t="s">
        <v>366</v>
      </c>
      <c r="B364" s="6">
        <v>79394.600000000006</v>
      </c>
      <c r="C364" s="6">
        <v>72778.38</v>
      </c>
      <c r="D364" s="10">
        <v>1E-4</v>
      </c>
      <c r="E364" s="8">
        <v>33026</v>
      </c>
    </row>
    <row r="365" spans="1:5" x14ac:dyDescent="0.3">
      <c r="A365" s="5" t="s">
        <v>367</v>
      </c>
      <c r="B365" s="6">
        <v>78572.94</v>
      </c>
      <c r="C365" s="6">
        <v>72025.2</v>
      </c>
      <c r="D365" s="9">
        <v>-1.03E-2</v>
      </c>
      <c r="E365" s="8">
        <v>40958</v>
      </c>
    </row>
    <row r="366" spans="1:5" x14ac:dyDescent="0.3">
      <c r="A366" s="5" t="s">
        <v>368</v>
      </c>
      <c r="B366" s="6">
        <v>78941.09</v>
      </c>
      <c r="C366" s="6">
        <v>72362.67</v>
      </c>
      <c r="D366" s="10">
        <v>4.7000000000000002E-3</v>
      </c>
      <c r="E366" s="8">
        <v>35437</v>
      </c>
    </row>
    <row r="367" spans="1:5" x14ac:dyDescent="0.3">
      <c r="A367" s="5" t="s">
        <v>369</v>
      </c>
      <c r="B367" s="6">
        <v>78985.7</v>
      </c>
      <c r="C367" s="6">
        <v>72403.56</v>
      </c>
      <c r="D367" s="10">
        <v>5.9999999999999995E-4</v>
      </c>
      <c r="E367" s="8">
        <v>18620</v>
      </c>
    </row>
    <row r="368" spans="1:5" x14ac:dyDescent="0.3">
      <c r="A368" s="5" t="s">
        <v>370</v>
      </c>
      <c r="B368" s="6">
        <v>79485.98</v>
      </c>
      <c r="C368" s="6">
        <v>72862.149999999994</v>
      </c>
      <c r="D368" s="10">
        <v>6.3E-3</v>
      </c>
      <c r="E368" s="8">
        <v>21087</v>
      </c>
    </row>
    <row r="369" spans="1:5" x14ac:dyDescent="0.3">
      <c r="A369" s="5" t="s">
        <v>371</v>
      </c>
      <c r="B369" s="6">
        <v>79238.490000000005</v>
      </c>
      <c r="C369" s="6">
        <v>72635.28</v>
      </c>
      <c r="D369" s="9">
        <v>-3.0999999999999999E-3</v>
      </c>
      <c r="E369" s="8">
        <v>17070</v>
      </c>
    </row>
    <row r="370" spans="1:5" x14ac:dyDescent="0.3">
      <c r="A370" s="5" t="s">
        <v>372</v>
      </c>
      <c r="B370" s="6">
        <v>79442.52</v>
      </c>
      <c r="C370" s="6">
        <v>72822.31</v>
      </c>
      <c r="D370" s="10">
        <v>2.5999999999999999E-3</v>
      </c>
      <c r="E370" s="8">
        <v>24384</v>
      </c>
    </row>
    <row r="371" spans="1:5" x14ac:dyDescent="0.3">
      <c r="A371" s="5" t="s">
        <v>373</v>
      </c>
      <c r="B371" s="6">
        <v>80045.679999999993</v>
      </c>
      <c r="C371" s="6">
        <v>73375.210000000006</v>
      </c>
      <c r="D371" s="10">
        <v>7.6E-3</v>
      </c>
      <c r="E371" s="8">
        <v>11419</v>
      </c>
    </row>
    <row r="372" spans="1:5" x14ac:dyDescent="0.3">
      <c r="A372" s="5" t="s">
        <v>374</v>
      </c>
      <c r="B372" s="6">
        <v>80819.56</v>
      </c>
      <c r="C372" s="6">
        <v>74084.600000000006</v>
      </c>
      <c r="D372" s="10">
        <v>9.7000000000000003E-3</v>
      </c>
      <c r="E372" s="8">
        <v>39495</v>
      </c>
    </row>
    <row r="373" spans="1:5" x14ac:dyDescent="0.3">
      <c r="A373" s="5" t="s">
        <v>375</v>
      </c>
      <c r="B373" s="6">
        <v>80447.759999999995</v>
      </c>
      <c r="C373" s="6">
        <v>73743.78</v>
      </c>
      <c r="D373" s="9">
        <v>-4.5999999999999999E-3</v>
      </c>
      <c r="E373" s="8">
        <v>32327</v>
      </c>
    </row>
    <row r="374" spans="1:5" x14ac:dyDescent="0.3">
      <c r="A374" s="5" t="s">
        <v>376</v>
      </c>
      <c r="B374" s="6">
        <v>81876.42</v>
      </c>
      <c r="C374" s="6">
        <v>75053.39</v>
      </c>
      <c r="D374" s="10">
        <v>1.78E-2</v>
      </c>
      <c r="E374" s="8">
        <v>14723</v>
      </c>
    </row>
    <row r="375" spans="1:5" x14ac:dyDescent="0.3">
      <c r="A375" s="5" t="s">
        <v>377</v>
      </c>
      <c r="B375" s="6">
        <v>83393.429999999993</v>
      </c>
      <c r="C375" s="6">
        <v>76443.98</v>
      </c>
      <c r="D375" s="10">
        <v>1.8499999999999999E-2</v>
      </c>
      <c r="E375" s="8">
        <v>41810</v>
      </c>
    </row>
    <row r="376" spans="1:5" x14ac:dyDescent="0.3">
      <c r="A376" s="5" t="s">
        <v>378</v>
      </c>
      <c r="B376" s="6">
        <v>82651</v>
      </c>
      <c r="C376" s="6">
        <v>75763.42</v>
      </c>
      <c r="D376" s="9">
        <v>-8.8999999999999999E-3</v>
      </c>
      <c r="E376" s="8">
        <v>16170</v>
      </c>
    </row>
    <row r="377" spans="1:5" x14ac:dyDescent="0.3">
      <c r="A377" s="5" t="s">
        <v>379</v>
      </c>
      <c r="B377" s="6">
        <v>83054.77</v>
      </c>
      <c r="C377" s="6">
        <v>76133.539999999994</v>
      </c>
      <c r="D377" s="10">
        <v>4.8999999999999998E-3</v>
      </c>
      <c r="E377" s="8">
        <v>26681</v>
      </c>
    </row>
    <row r="378" spans="1:5" x14ac:dyDescent="0.3">
      <c r="A378" s="5" t="s">
        <v>380</v>
      </c>
      <c r="B378" s="6">
        <v>84475.95</v>
      </c>
      <c r="C378" s="6">
        <v>77436.28</v>
      </c>
      <c r="D378" s="10">
        <v>1.7100000000000001E-2</v>
      </c>
      <c r="E378" s="8">
        <v>13496</v>
      </c>
    </row>
    <row r="379" spans="1:5" x14ac:dyDescent="0.3">
      <c r="A379" s="5" t="s">
        <v>381</v>
      </c>
      <c r="B379" s="6">
        <v>85198.01</v>
      </c>
      <c r="C379" s="6">
        <v>78098.17</v>
      </c>
      <c r="D379" s="10">
        <v>8.5000000000000006E-3</v>
      </c>
      <c r="E379" s="8">
        <v>18506</v>
      </c>
    </row>
    <row r="380" spans="1:5" x14ac:dyDescent="0.3">
      <c r="A380" s="5" t="s">
        <v>382</v>
      </c>
      <c r="B380" s="6">
        <v>84938.87</v>
      </c>
      <c r="C380" s="6">
        <v>77860.63</v>
      </c>
      <c r="D380" s="9">
        <v>-3.0000000000000001E-3</v>
      </c>
      <c r="E380" s="8">
        <v>25877</v>
      </c>
    </row>
    <row r="381" spans="1:5" x14ac:dyDescent="0.3">
      <c r="A381" s="5" t="s">
        <v>383</v>
      </c>
      <c r="B381" s="6">
        <v>85296.82</v>
      </c>
      <c r="C381" s="6">
        <v>78188.75</v>
      </c>
      <c r="D381" s="10">
        <v>4.1999999999999997E-3</v>
      </c>
      <c r="E381" s="8">
        <v>37446</v>
      </c>
    </row>
    <row r="382" spans="1:5" x14ac:dyDescent="0.3">
      <c r="A382" s="5" t="s">
        <v>384</v>
      </c>
      <c r="B382" s="6">
        <v>86186.880000000005</v>
      </c>
      <c r="C382" s="6">
        <v>79004.639999999999</v>
      </c>
      <c r="D382" s="10">
        <v>1.04E-2</v>
      </c>
      <c r="E382" s="8">
        <v>41643</v>
      </c>
    </row>
    <row r="383" spans="1:5" x14ac:dyDescent="0.3">
      <c r="A383" s="5" t="s">
        <v>385</v>
      </c>
      <c r="B383" s="6">
        <v>85842.12</v>
      </c>
      <c r="C383" s="6">
        <v>78688.61</v>
      </c>
      <c r="D383" s="9">
        <v>-4.0000000000000001E-3</v>
      </c>
      <c r="E383" s="8">
        <v>17656</v>
      </c>
    </row>
    <row r="384" spans="1:5" x14ac:dyDescent="0.3">
      <c r="A384" s="5" t="s">
        <v>386</v>
      </c>
      <c r="B384" s="6">
        <v>85790.44</v>
      </c>
      <c r="C384" s="6">
        <v>78641.23</v>
      </c>
      <c r="D384" s="9">
        <v>-5.9999999999999995E-4</v>
      </c>
      <c r="E384" s="8">
        <v>36670</v>
      </c>
    </row>
    <row r="385" spans="1:5" x14ac:dyDescent="0.3">
      <c r="A385" s="5" t="s">
        <v>387</v>
      </c>
      <c r="B385" s="6">
        <v>86161.61</v>
      </c>
      <c r="C385" s="6">
        <v>78981.47</v>
      </c>
      <c r="D385" s="10">
        <v>4.3E-3</v>
      </c>
      <c r="E385" s="8">
        <v>14010</v>
      </c>
    </row>
    <row r="386" spans="1:5" x14ac:dyDescent="0.3">
      <c r="A386" s="5" t="s">
        <v>388</v>
      </c>
      <c r="B386" s="6">
        <v>88063.52</v>
      </c>
      <c r="C386" s="6">
        <v>80724.899999999994</v>
      </c>
      <c r="D386" s="10">
        <v>2.2100000000000002E-2</v>
      </c>
      <c r="E386" s="8">
        <v>22551</v>
      </c>
    </row>
    <row r="387" spans="1:5" x14ac:dyDescent="0.3">
      <c r="A387" s="5" t="s">
        <v>389</v>
      </c>
      <c r="B387" s="6">
        <v>89248.26</v>
      </c>
      <c r="C387" s="6">
        <v>81810.91</v>
      </c>
      <c r="D387" s="10">
        <v>1.35E-2</v>
      </c>
      <c r="E387" s="8">
        <v>37565</v>
      </c>
    </row>
    <row r="388" spans="1:5" x14ac:dyDescent="0.3">
      <c r="A388" s="5" t="s">
        <v>390</v>
      </c>
      <c r="B388" s="6">
        <v>89531</v>
      </c>
      <c r="C388" s="6">
        <v>82070.080000000002</v>
      </c>
      <c r="D388" s="10">
        <v>3.2000000000000002E-3</v>
      </c>
      <c r="E388" s="8">
        <v>30910</v>
      </c>
    </row>
    <row r="389" spans="1:5" x14ac:dyDescent="0.3">
      <c r="A389" s="5" t="s">
        <v>391</v>
      </c>
      <c r="B389" s="6">
        <v>90429.61</v>
      </c>
      <c r="C389" s="6">
        <v>82893.81</v>
      </c>
      <c r="D389" s="10">
        <v>0.01</v>
      </c>
      <c r="E389" s="8">
        <v>9747</v>
      </c>
    </row>
    <row r="390" spans="1:5" x14ac:dyDescent="0.3">
      <c r="A390" s="5" t="s">
        <v>392</v>
      </c>
      <c r="B390" s="6">
        <v>91408.06</v>
      </c>
      <c r="C390" s="6">
        <v>83790.720000000001</v>
      </c>
      <c r="D390" s="10">
        <v>1.0800000000000001E-2</v>
      </c>
      <c r="E390" s="8">
        <v>35190</v>
      </c>
    </row>
    <row r="391" spans="1:5" x14ac:dyDescent="0.3">
      <c r="A391" s="5" t="s">
        <v>393</v>
      </c>
      <c r="B391" s="6">
        <v>91560.69</v>
      </c>
      <c r="C391" s="6">
        <v>83930.63</v>
      </c>
      <c r="D391" s="10">
        <v>1.6999999999999999E-3</v>
      </c>
      <c r="E391" s="8">
        <v>11490</v>
      </c>
    </row>
    <row r="392" spans="1:5" x14ac:dyDescent="0.3">
      <c r="A392" s="5" t="s">
        <v>394</v>
      </c>
      <c r="B392" s="6">
        <v>92470.35</v>
      </c>
      <c r="C392" s="6">
        <v>84764.49</v>
      </c>
      <c r="D392" s="10">
        <v>9.9000000000000008E-3</v>
      </c>
      <c r="E392" s="8">
        <v>33982</v>
      </c>
    </row>
    <row r="393" spans="1:5" x14ac:dyDescent="0.3">
      <c r="A393" s="5" t="s">
        <v>395</v>
      </c>
      <c r="B393" s="6">
        <v>92501.8</v>
      </c>
      <c r="C393" s="6">
        <v>84793.31</v>
      </c>
      <c r="D393" s="10">
        <v>2.9999999999999997E-4</v>
      </c>
      <c r="E393" s="8">
        <v>40899</v>
      </c>
    </row>
    <row r="394" spans="1:5" x14ac:dyDescent="0.3">
      <c r="A394" s="5" t="s">
        <v>396</v>
      </c>
      <c r="B394" s="6">
        <v>92910.36</v>
      </c>
      <c r="C394" s="6">
        <v>85167.83</v>
      </c>
      <c r="D394" s="10">
        <v>4.4000000000000003E-3</v>
      </c>
      <c r="E394" s="8">
        <v>32507</v>
      </c>
    </row>
    <row r="395" spans="1:5" x14ac:dyDescent="0.3">
      <c r="A395" s="5" t="s">
        <v>397</v>
      </c>
      <c r="B395" s="6">
        <v>95132.66</v>
      </c>
      <c r="C395" s="6">
        <v>87204.93</v>
      </c>
      <c r="D395" s="10">
        <v>2.3900000000000001E-2</v>
      </c>
      <c r="E395" s="8">
        <v>23451</v>
      </c>
    </row>
    <row r="396" spans="1:5" x14ac:dyDescent="0.3">
      <c r="A396" s="5" t="s">
        <v>398</v>
      </c>
      <c r="B396" s="6">
        <v>95254.18</v>
      </c>
      <c r="C396" s="6">
        <v>87316.33</v>
      </c>
      <c r="D396" s="10">
        <v>1.2999999999999999E-3</v>
      </c>
      <c r="E396" s="8">
        <v>33307</v>
      </c>
    </row>
    <row r="397" spans="1:5" x14ac:dyDescent="0.3">
      <c r="A397" s="5" t="s">
        <v>399</v>
      </c>
      <c r="B397" s="6">
        <v>96069.3</v>
      </c>
      <c r="C397" s="6">
        <v>88063.53</v>
      </c>
      <c r="D397" s="10">
        <v>8.6E-3</v>
      </c>
      <c r="E397" s="8">
        <v>13348</v>
      </c>
    </row>
    <row r="398" spans="1:5" x14ac:dyDescent="0.3">
      <c r="A398" s="5" t="s">
        <v>400</v>
      </c>
      <c r="B398" s="6">
        <v>96893.97</v>
      </c>
      <c r="C398" s="6">
        <v>88819.47</v>
      </c>
      <c r="D398" s="10">
        <v>8.6E-3</v>
      </c>
      <c r="E398" s="8">
        <v>32570</v>
      </c>
    </row>
    <row r="399" spans="1:5" x14ac:dyDescent="0.3">
      <c r="A399" s="5" t="s">
        <v>401</v>
      </c>
      <c r="B399" s="6">
        <v>96772.59</v>
      </c>
      <c r="C399" s="6">
        <v>88708.21</v>
      </c>
      <c r="D399" s="9">
        <v>-1.2999999999999999E-3</v>
      </c>
      <c r="E399" s="8">
        <v>22715</v>
      </c>
    </row>
    <row r="400" spans="1:5" x14ac:dyDescent="0.3">
      <c r="A400" s="5" t="s">
        <v>402</v>
      </c>
      <c r="B400" s="6">
        <v>98262.63</v>
      </c>
      <c r="C400" s="6">
        <v>90074.08</v>
      </c>
      <c r="D400" s="10">
        <v>1.54E-2</v>
      </c>
      <c r="E400" s="8">
        <v>9847</v>
      </c>
    </row>
    <row r="401" spans="1:5" x14ac:dyDescent="0.3">
      <c r="A401" s="5" t="s">
        <v>403</v>
      </c>
      <c r="B401" s="6">
        <v>98751.039999999994</v>
      </c>
      <c r="C401" s="6">
        <v>90521.79</v>
      </c>
      <c r="D401" s="10">
        <v>5.0000000000000001E-3</v>
      </c>
      <c r="E401" s="8">
        <v>28885</v>
      </c>
    </row>
    <row r="402" spans="1:5" x14ac:dyDescent="0.3">
      <c r="A402" s="5" t="s">
        <v>404</v>
      </c>
      <c r="B402" s="6">
        <v>98663.18</v>
      </c>
      <c r="C402" s="6">
        <v>90441.25</v>
      </c>
      <c r="D402" s="9">
        <v>-8.9999999999999998E-4</v>
      </c>
      <c r="E402" s="8">
        <v>14493</v>
      </c>
    </row>
    <row r="403" spans="1:5" x14ac:dyDescent="0.3">
      <c r="A403" s="5" t="s">
        <v>405</v>
      </c>
      <c r="B403" s="6">
        <v>98180.71</v>
      </c>
      <c r="C403" s="6">
        <v>89998.98</v>
      </c>
      <c r="D403" s="9">
        <v>-4.8999999999999998E-3</v>
      </c>
      <c r="E403" s="8">
        <v>29973</v>
      </c>
    </row>
    <row r="404" spans="1:5" x14ac:dyDescent="0.3">
      <c r="A404" s="5" t="s">
        <v>406</v>
      </c>
      <c r="B404" s="6">
        <v>97191.47</v>
      </c>
      <c r="C404" s="6">
        <v>89092.18</v>
      </c>
      <c r="D404" s="9">
        <v>-1.01E-2</v>
      </c>
      <c r="E404" s="8">
        <v>17571</v>
      </c>
    </row>
    <row r="405" spans="1:5" x14ac:dyDescent="0.3">
      <c r="A405" s="5" t="s">
        <v>407</v>
      </c>
      <c r="B405" s="6">
        <v>97518.7</v>
      </c>
      <c r="C405" s="6">
        <v>89392.14</v>
      </c>
      <c r="D405" s="10">
        <v>3.3999999999999998E-3</v>
      </c>
      <c r="E405" s="8">
        <v>17017</v>
      </c>
    </row>
    <row r="406" spans="1:5" x14ac:dyDescent="0.3">
      <c r="A406" s="5" t="s">
        <v>408</v>
      </c>
      <c r="B406" s="6">
        <v>97336.51</v>
      </c>
      <c r="C406" s="6">
        <v>89225.13</v>
      </c>
      <c r="D406" s="9">
        <v>-1.9E-3</v>
      </c>
      <c r="E406" s="8">
        <v>10510</v>
      </c>
    </row>
    <row r="407" spans="1:5" x14ac:dyDescent="0.3">
      <c r="A407" s="5" t="s">
        <v>409</v>
      </c>
      <c r="B407" s="6">
        <v>97162.3</v>
      </c>
      <c r="C407" s="6">
        <v>89065.44</v>
      </c>
      <c r="D407" s="9">
        <v>-1.8E-3</v>
      </c>
      <c r="E407" s="8">
        <v>26800</v>
      </c>
    </row>
    <row r="408" spans="1:5" x14ac:dyDescent="0.3">
      <c r="A408" s="5" t="s">
        <v>410</v>
      </c>
      <c r="B408" s="6">
        <v>97644.52</v>
      </c>
      <c r="C408" s="6">
        <v>89507.47</v>
      </c>
      <c r="D408" s="10">
        <v>5.0000000000000001E-3</v>
      </c>
      <c r="E408" s="8">
        <v>38962</v>
      </c>
    </row>
    <row r="409" spans="1:5" x14ac:dyDescent="0.3">
      <c r="A409" s="5" t="s">
        <v>411</v>
      </c>
      <c r="B409" s="6">
        <v>98013.91</v>
      </c>
      <c r="C409" s="6">
        <v>89846.080000000002</v>
      </c>
      <c r="D409" s="10">
        <v>3.8E-3</v>
      </c>
      <c r="E409" s="8">
        <v>17095</v>
      </c>
    </row>
    <row r="410" spans="1:5" x14ac:dyDescent="0.3">
      <c r="A410" s="5" t="s">
        <v>412</v>
      </c>
      <c r="B410" s="6">
        <v>97395.73</v>
      </c>
      <c r="C410" s="6">
        <v>89279.42</v>
      </c>
      <c r="D410" s="9">
        <v>-6.3E-3</v>
      </c>
      <c r="E410" s="8">
        <v>38743</v>
      </c>
    </row>
    <row r="411" spans="1:5" x14ac:dyDescent="0.3">
      <c r="A411" s="5" t="s">
        <v>413</v>
      </c>
      <c r="B411" s="6">
        <v>97007.72</v>
      </c>
      <c r="C411" s="6">
        <v>88923.74</v>
      </c>
      <c r="D411" s="9">
        <v>-4.0000000000000001E-3</v>
      </c>
      <c r="E411" s="8">
        <v>37399</v>
      </c>
    </row>
    <row r="412" spans="1:5" x14ac:dyDescent="0.3">
      <c r="A412" s="5" t="s">
        <v>414</v>
      </c>
      <c r="B412" s="6">
        <v>96321.29</v>
      </c>
      <c r="C412" s="6">
        <v>88294.52</v>
      </c>
      <c r="D412" s="9">
        <v>-7.1000000000000004E-3</v>
      </c>
      <c r="E412" s="8">
        <v>8344</v>
      </c>
    </row>
    <row r="413" spans="1:5" x14ac:dyDescent="0.3">
      <c r="A413" s="5" t="s">
        <v>415</v>
      </c>
      <c r="B413" s="6">
        <v>96214.98</v>
      </c>
      <c r="C413" s="6">
        <v>88197.06</v>
      </c>
      <c r="D413" s="9">
        <v>-1.1000000000000001E-3</v>
      </c>
      <c r="E413" s="8">
        <v>13192</v>
      </c>
    </row>
    <row r="414" spans="1:5" x14ac:dyDescent="0.3">
      <c r="A414" s="5" t="s">
        <v>416</v>
      </c>
      <c r="B414" s="6">
        <v>96709.09</v>
      </c>
      <c r="C414" s="6">
        <v>88650</v>
      </c>
      <c r="D414" s="10">
        <v>5.1000000000000004E-3</v>
      </c>
      <c r="E414" s="8">
        <v>9245</v>
      </c>
    </row>
    <row r="415" spans="1:5" x14ac:dyDescent="0.3">
      <c r="A415" s="5" t="s">
        <v>417</v>
      </c>
      <c r="B415" s="6">
        <v>97871.95</v>
      </c>
      <c r="C415" s="6">
        <v>89715.95</v>
      </c>
      <c r="D415" s="10">
        <v>1.2E-2</v>
      </c>
      <c r="E415" s="8">
        <v>24772</v>
      </c>
    </row>
    <row r="416" spans="1:5" x14ac:dyDescent="0.3">
      <c r="A416" s="5" t="s">
        <v>418</v>
      </c>
      <c r="B416" s="6">
        <v>98167.31</v>
      </c>
      <c r="C416" s="6">
        <v>89986.7</v>
      </c>
      <c r="D416" s="10">
        <v>3.0000000000000001E-3</v>
      </c>
      <c r="E416" s="8">
        <v>22133</v>
      </c>
    </row>
    <row r="417" spans="1:5" x14ac:dyDescent="0.3">
      <c r="A417" s="5" t="s">
        <v>419</v>
      </c>
      <c r="B417" s="6">
        <v>98524.81</v>
      </c>
      <c r="C417" s="6">
        <v>90314.41</v>
      </c>
      <c r="D417" s="10">
        <v>3.5999999999999999E-3</v>
      </c>
      <c r="E417" s="8">
        <v>17798</v>
      </c>
    </row>
    <row r="418" spans="1:5" x14ac:dyDescent="0.3">
      <c r="A418" s="5" t="s">
        <v>420</v>
      </c>
      <c r="B418" s="6">
        <v>98669.48</v>
      </c>
      <c r="C418" s="6">
        <v>90447.02</v>
      </c>
      <c r="D418" s="10">
        <v>1.5E-3</v>
      </c>
      <c r="E418" s="8">
        <v>35738</v>
      </c>
    </row>
    <row r="419" spans="1:5" x14ac:dyDescent="0.3">
      <c r="A419" s="5" t="s">
        <v>421</v>
      </c>
      <c r="B419" s="6">
        <v>99507.65</v>
      </c>
      <c r="C419" s="6">
        <v>91215.35</v>
      </c>
      <c r="D419" s="10">
        <v>8.5000000000000006E-3</v>
      </c>
      <c r="E419" s="8">
        <v>15286</v>
      </c>
    </row>
    <row r="420" spans="1:5" x14ac:dyDescent="0.3">
      <c r="A420" s="5" t="s">
        <v>422</v>
      </c>
      <c r="B420" s="6">
        <v>99747.97</v>
      </c>
      <c r="C420" s="6">
        <v>91435.64</v>
      </c>
      <c r="D420" s="10">
        <v>2.3999999999999998E-3</v>
      </c>
      <c r="E420" s="8">
        <v>26881</v>
      </c>
    </row>
    <row r="421" spans="1:5" x14ac:dyDescent="0.3">
      <c r="A421" s="5" t="s">
        <v>423</v>
      </c>
      <c r="B421" s="6">
        <v>99752.21</v>
      </c>
      <c r="C421" s="6">
        <v>91439.53</v>
      </c>
      <c r="D421" s="7">
        <v>0</v>
      </c>
      <c r="E421" s="8">
        <v>23573</v>
      </c>
    </row>
    <row r="422" spans="1:5" x14ac:dyDescent="0.3">
      <c r="A422" s="5" t="s">
        <v>424</v>
      </c>
      <c r="B422" s="6">
        <v>101047.78</v>
      </c>
      <c r="C422" s="6">
        <v>92627.14</v>
      </c>
      <c r="D422" s="10">
        <v>1.2999999999999999E-2</v>
      </c>
      <c r="E422" s="8">
        <v>27736</v>
      </c>
    </row>
    <row r="423" spans="1:5" x14ac:dyDescent="0.3">
      <c r="A423" s="5" t="s">
        <v>425</v>
      </c>
      <c r="B423" s="6">
        <v>102183.67</v>
      </c>
      <c r="C423" s="6">
        <v>93668.36</v>
      </c>
      <c r="D423" s="10">
        <v>1.12E-2</v>
      </c>
      <c r="E423" s="8">
        <v>15985</v>
      </c>
    </row>
    <row r="424" spans="1:5" x14ac:dyDescent="0.3">
      <c r="A424" s="5" t="s">
        <v>426</v>
      </c>
      <c r="B424" s="6">
        <v>102189.13</v>
      </c>
      <c r="C424" s="6">
        <v>93673.37</v>
      </c>
      <c r="D424" s="10">
        <v>1E-4</v>
      </c>
      <c r="E424" s="8">
        <v>11129</v>
      </c>
    </row>
    <row r="425" spans="1:5" x14ac:dyDescent="0.3">
      <c r="A425" s="5" t="s">
        <v>427</v>
      </c>
      <c r="B425" s="6">
        <v>101922.52</v>
      </c>
      <c r="C425" s="6">
        <v>93428.98</v>
      </c>
      <c r="D425" s="9">
        <v>-2.5999999999999999E-3</v>
      </c>
      <c r="E425" s="8">
        <v>23626</v>
      </c>
    </row>
    <row r="426" spans="1:5" x14ac:dyDescent="0.3">
      <c r="A426" s="5" t="s">
        <v>428</v>
      </c>
      <c r="B426" s="6">
        <v>103327.61</v>
      </c>
      <c r="C426" s="6">
        <v>94716.97</v>
      </c>
      <c r="D426" s="10">
        <v>1.38E-2</v>
      </c>
      <c r="E426" s="8">
        <v>35513</v>
      </c>
    </row>
    <row r="427" spans="1:5" x14ac:dyDescent="0.3">
      <c r="A427" s="5" t="s">
        <v>429</v>
      </c>
      <c r="B427" s="6">
        <v>103179.15</v>
      </c>
      <c r="C427" s="6">
        <v>94580.89</v>
      </c>
      <c r="D427" s="9">
        <v>-1.4E-3</v>
      </c>
      <c r="E427" s="8">
        <v>37957</v>
      </c>
    </row>
    <row r="428" spans="1:5" x14ac:dyDescent="0.3">
      <c r="A428" s="5" t="s">
        <v>430</v>
      </c>
      <c r="B428" s="6">
        <v>104493.38</v>
      </c>
      <c r="C428" s="6">
        <v>95785.59</v>
      </c>
      <c r="D428" s="10">
        <v>1.2699999999999999E-2</v>
      </c>
      <c r="E428" s="8">
        <v>12116</v>
      </c>
    </row>
    <row r="429" spans="1:5" x14ac:dyDescent="0.3">
      <c r="A429" s="5" t="s">
        <v>431</v>
      </c>
      <c r="B429" s="6">
        <v>106232.53</v>
      </c>
      <c r="C429" s="6">
        <v>97379.82</v>
      </c>
      <c r="D429" s="10">
        <v>1.66E-2</v>
      </c>
      <c r="E429" s="8">
        <v>15265</v>
      </c>
    </row>
    <row r="430" spans="1:5" x14ac:dyDescent="0.3">
      <c r="A430" s="5" t="s">
        <v>432</v>
      </c>
      <c r="B430" s="6">
        <v>105300.79</v>
      </c>
      <c r="C430" s="6">
        <v>96525.72</v>
      </c>
      <c r="D430" s="9">
        <v>-8.8000000000000005E-3</v>
      </c>
      <c r="E430" s="8">
        <v>40756</v>
      </c>
    </row>
    <row r="431" spans="1:5" x14ac:dyDescent="0.3">
      <c r="A431" s="5" t="s">
        <v>433</v>
      </c>
      <c r="B431" s="6">
        <v>105758.32</v>
      </c>
      <c r="C431" s="6">
        <v>96945.13</v>
      </c>
      <c r="D431" s="10">
        <v>4.3E-3</v>
      </c>
      <c r="E431" s="8">
        <v>9077</v>
      </c>
    </row>
    <row r="432" spans="1:5" x14ac:dyDescent="0.3">
      <c r="A432" s="5" t="s">
        <v>434</v>
      </c>
      <c r="B432" s="6">
        <v>107170.14</v>
      </c>
      <c r="C432" s="6">
        <v>98239.29</v>
      </c>
      <c r="D432" s="10">
        <v>1.3299999999999999E-2</v>
      </c>
      <c r="E432" s="8">
        <v>41775</v>
      </c>
    </row>
    <row r="433" spans="1:5" x14ac:dyDescent="0.3">
      <c r="A433" s="5" t="s">
        <v>435</v>
      </c>
      <c r="B433" s="6">
        <v>106765.05</v>
      </c>
      <c r="C433" s="6">
        <v>97867.96</v>
      </c>
      <c r="D433" s="9">
        <v>-3.8E-3</v>
      </c>
      <c r="E433" s="8">
        <v>23855</v>
      </c>
    </row>
    <row r="434" spans="1:5" x14ac:dyDescent="0.3">
      <c r="A434" s="5" t="s">
        <v>436</v>
      </c>
      <c r="B434" s="6">
        <v>106938.86</v>
      </c>
      <c r="C434" s="6">
        <v>98027.29</v>
      </c>
      <c r="D434" s="10">
        <v>1.6000000000000001E-3</v>
      </c>
      <c r="E434" s="8">
        <v>17409</v>
      </c>
    </row>
    <row r="435" spans="1:5" x14ac:dyDescent="0.3">
      <c r="A435" s="5" t="s">
        <v>437</v>
      </c>
      <c r="B435" s="6">
        <v>108049.17</v>
      </c>
      <c r="C435" s="6">
        <v>99045.07</v>
      </c>
      <c r="D435" s="10">
        <v>1.04E-2</v>
      </c>
      <c r="E435" s="8">
        <v>27088</v>
      </c>
    </row>
    <row r="436" spans="1:5" x14ac:dyDescent="0.3">
      <c r="A436" s="5" t="s">
        <v>438</v>
      </c>
      <c r="B436" s="6">
        <v>109394.94</v>
      </c>
      <c r="C436" s="6">
        <v>100278.7</v>
      </c>
      <c r="D436" s="10">
        <v>1.2500000000000001E-2</v>
      </c>
      <c r="E436" s="8">
        <v>36130</v>
      </c>
    </row>
    <row r="437" spans="1:5" x14ac:dyDescent="0.3">
      <c r="A437" s="5" t="s">
        <v>439</v>
      </c>
      <c r="B437" s="6">
        <v>109566.94</v>
      </c>
      <c r="C437" s="6">
        <v>100436.36</v>
      </c>
      <c r="D437" s="10">
        <v>1.6000000000000001E-3</v>
      </c>
      <c r="E437" s="8">
        <v>8102</v>
      </c>
    </row>
    <row r="438" spans="1:5" x14ac:dyDescent="0.3">
      <c r="A438" s="5" t="s">
        <v>440</v>
      </c>
      <c r="B438" s="6">
        <v>109583.55</v>
      </c>
      <c r="C438" s="6">
        <v>100451.59</v>
      </c>
      <c r="D438" s="10">
        <v>2.0000000000000001E-4</v>
      </c>
      <c r="E438" s="8">
        <v>31122</v>
      </c>
    </row>
    <row r="439" spans="1:5" x14ac:dyDescent="0.3">
      <c r="A439" s="5" t="s">
        <v>441</v>
      </c>
      <c r="B439" s="6">
        <v>110703.62</v>
      </c>
      <c r="C439" s="6">
        <v>101478.32</v>
      </c>
      <c r="D439" s="10">
        <v>1.0200000000000001E-2</v>
      </c>
      <c r="E439" s="8">
        <v>23765</v>
      </c>
    </row>
    <row r="440" spans="1:5" x14ac:dyDescent="0.3">
      <c r="A440" s="5" t="s">
        <v>442</v>
      </c>
      <c r="B440" s="6">
        <v>110614.92</v>
      </c>
      <c r="C440" s="6">
        <v>101397.01</v>
      </c>
      <c r="D440" s="9">
        <v>-8.0000000000000004E-4</v>
      </c>
      <c r="E440" s="8">
        <v>35300</v>
      </c>
    </row>
    <row r="441" spans="1:5" x14ac:dyDescent="0.3">
      <c r="A441" s="5" t="s">
        <v>443</v>
      </c>
      <c r="B441" s="6">
        <v>112826.24000000001</v>
      </c>
      <c r="C441" s="6">
        <v>103424.05</v>
      </c>
      <c r="D441" s="10">
        <v>0.02</v>
      </c>
      <c r="E441" s="8">
        <v>20275</v>
      </c>
    </row>
    <row r="442" spans="1:5" x14ac:dyDescent="0.3">
      <c r="A442" s="5" t="s">
        <v>444</v>
      </c>
      <c r="B442" s="6">
        <v>113275.69</v>
      </c>
      <c r="C442" s="6">
        <v>103836.05</v>
      </c>
      <c r="D442" s="10">
        <v>4.0000000000000001E-3</v>
      </c>
      <c r="E442" s="8">
        <v>13610</v>
      </c>
    </row>
    <row r="443" spans="1:5" x14ac:dyDescent="0.3">
      <c r="A443" s="5" t="s">
        <v>445</v>
      </c>
      <c r="B443" s="6">
        <v>114283.12</v>
      </c>
      <c r="C443" s="6">
        <v>104759.52</v>
      </c>
      <c r="D443" s="10">
        <v>8.8999999999999999E-3</v>
      </c>
      <c r="E443" s="8">
        <v>31632</v>
      </c>
    </row>
    <row r="444" spans="1:5" x14ac:dyDescent="0.3">
      <c r="A444" s="5" t="s">
        <v>446</v>
      </c>
      <c r="B444" s="6">
        <v>114595.94</v>
      </c>
      <c r="C444" s="6">
        <v>105046.28</v>
      </c>
      <c r="D444" s="10">
        <v>2.7000000000000001E-3</v>
      </c>
      <c r="E444" s="8">
        <v>12435</v>
      </c>
    </row>
    <row r="445" spans="1:5" x14ac:dyDescent="0.3">
      <c r="A445" s="5" t="s">
        <v>447</v>
      </c>
      <c r="B445" s="6">
        <v>114287.89</v>
      </c>
      <c r="C445" s="6">
        <v>104763.9</v>
      </c>
      <c r="D445" s="9">
        <v>-2.7000000000000001E-3</v>
      </c>
      <c r="E445" s="8">
        <v>41248</v>
      </c>
    </row>
    <row r="446" spans="1:5" x14ac:dyDescent="0.3">
      <c r="A446" s="5" t="s">
        <v>448</v>
      </c>
      <c r="B446" s="6">
        <v>115151.29</v>
      </c>
      <c r="C446" s="6">
        <v>105555.35</v>
      </c>
      <c r="D446" s="10">
        <v>7.6E-3</v>
      </c>
      <c r="E446" s="8">
        <v>41267</v>
      </c>
    </row>
    <row r="447" spans="1:5" x14ac:dyDescent="0.3">
      <c r="A447" s="5" t="s">
        <v>449</v>
      </c>
      <c r="B447" s="6">
        <v>115978.59</v>
      </c>
      <c r="C447" s="6">
        <v>106313.71</v>
      </c>
      <c r="D447" s="10">
        <v>7.1999999999999998E-3</v>
      </c>
      <c r="E447" s="8">
        <v>9332</v>
      </c>
    </row>
    <row r="448" spans="1:5" x14ac:dyDescent="0.3">
      <c r="A448" s="5" t="s">
        <v>450</v>
      </c>
      <c r="B448" s="6">
        <v>115869.55</v>
      </c>
      <c r="C448" s="6">
        <v>106213.75999999999</v>
      </c>
      <c r="D448" s="9">
        <v>-8.9999999999999998E-4</v>
      </c>
      <c r="E448" s="8">
        <v>33588</v>
      </c>
    </row>
    <row r="449" spans="1:5" x14ac:dyDescent="0.3">
      <c r="A449" s="5" t="s">
        <v>451</v>
      </c>
      <c r="B449" s="6">
        <v>117806</v>
      </c>
      <c r="C449" s="6">
        <v>107988.83</v>
      </c>
      <c r="D449" s="10">
        <v>1.67E-2</v>
      </c>
      <c r="E449" s="8">
        <v>38810</v>
      </c>
    </row>
    <row r="450" spans="1:5" x14ac:dyDescent="0.3">
      <c r="A450" s="5" t="s">
        <v>452</v>
      </c>
      <c r="B450" s="6">
        <v>118177.43</v>
      </c>
      <c r="C450" s="6">
        <v>108329.31</v>
      </c>
      <c r="D450" s="10">
        <v>3.2000000000000002E-3</v>
      </c>
      <c r="E450" s="8">
        <v>10853</v>
      </c>
    </row>
    <row r="451" spans="1:5" x14ac:dyDescent="0.3">
      <c r="A451" s="5" t="s">
        <v>453</v>
      </c>
      <c r="B451" s="6">
        <v>118004.13</v>
      </c>
      <c r="C451" s="6">
        <v>108170.46</v>
      </c>
      <c r="D451" s="9">
        <v>-1.5E-3</v>
      </c>
      <c r="E451" s="8">
        <v>33354</v>
      </c>
    </row>
    <row r="452" spans="1:5" x14ac:dyDescent="0.3">
      <c r="A452" s="5" t="s">
        <v>454</v>
      </c>
      <c r="B452" s="6">
        <v>118589.33</v>
      </c>
      <c r="C452" s="6">
        <v>108706.89</v>
      </c>
      <c r="D452" s="10">
        <v>5.0000000000000001E-3</v>
      </c>
      <c r="E452" s="8">
        <v>32464</v>
      </c>
    </row>
    <row r="453" spans="1:5" x14ac:dyDescent="0.3">
      <c r="A453" s="5" t="s">
        <v>455</v>
      </c>
      <c r="B453" s="6">
        <v>119668.28</v>
      </c>
      <c r="C453" s="6">
        <v>109695.92</v>
      </c>
      <c r="D453" s="10">
        <v>9.1000000000000004E-3</v>
      </c>
      <c r="E453" s="8">
        <v>24623</v>
      </c>
    </row>
    <row r="454" spans="1:5" x14ac:dyDescent="0.3">
      <c r="A454" s="5" t="s">
        <v>456</v>
      </c>
      <c r="B454" s="6">
        <v>119931.14</v>
      </c>
      <c r="C454" s="6">
        <v>109936.87</v>
      </c>
      <c r="D454" s="10">
        <v>2.2000000000000001E-3</v>
      </c>
      <c r="E454" s="8">
        <v>9064</v>
      </c>
    </row>
    <row r="455" spans="1:5" x14ac:dyDescent="0.3">
      <c r="A455" s="5" t="s">
        <v>457</v>
      </c>
      <c r="B455" s="6">
        <v>121091.89</v>
      </c>
      <c r="C455" s="6">
        <v>111000.9</v>
      </c>
      <c r="D455" s="10">
        <v>9.7000000000000003E-3</v>
      </c>
      <c r="E455" s="8">
        <v>31402</v>
      </c>
    </row>
    <row r="456" spans="1:5" x14ac:dyDescent="0.3">
      <c r="A456" s="5" t="s">
        <v>458</v>
      </c>
      <c r="B456" s="6">
        <v>120970.95</v>
      </c>
      <c r="C456" s="6">
        <v>110890.04</v>
      </c>
      <c r="D456" s="9">
        <v>-1E-3</v>
      </c>
      <c r="E456" s="8">
        <v>12427</v>
      </c>
    </row>
    <row r="457" spans="1:5" x14ac:dyDescent="0.3">
      <c r="A457" s="5" t="s">
        <v>459</v>
      </c>
      <c r="B457" s="6">
        <v>121250.9</v>
      </c>
      <c r="C457" s="6">
        <v>111146.66</v>
      </c>
      <c r="D457" s="10">
        <v>2.3E-3</v>
      </c>
      <c r="E457" s="8">
        <v>30596</v>
      </c>
    </row>
    <row r="458" spans="1:5" x14ac:dyDescent="0.3">
      <c r="A458" s="5" t="s">
        <v>460</v>
      </c>
      <c r="B458" s="6">
        <v>122128.57</v>
      </c>
      <c r="C458" s="6">
        <v>111951.19</v>
      </c>
      <c r="D458" s="10">
        <v>7.1999999999999998E-3</v>
      </c>
      <c r="E458" s="8">
        <v>23802</v>
      </c>
    </row>
    <row r="459" spans="1:5" x14ac:dyDescent="0.3">
      <c r="A459" s="5" t="s">
        <v>461</v>
      </c>
      <c r="B459" s="6">
        <v>123755.84</v>
      </c>
      <c r="C459" s="6">
        <v>113442.86</v>
      </c>
      <c r="D459" s="10">
        <v>1.3299999999999999E-2</v>
      </c>
      <c r="E459" s="8">
        <v>14793</v>
      </c>
    </row>
    <row r="460" spans="1:5" x14ac:dyDescent="0.3">
      <c r="A460" s="5" t="s">
        <v>462</v>
      </c>
      <c r="B460" s="6">
        <v>123399.87</v>
      </c>
      <c r="C460" s="6">
        <v>113116.55</v>
      </c>
      <c r="D460" s="9">
        <v>-2.8999999999999998E-3</v>
      </c>
      <c r="E460" s="8">
        <v>29791</v>
      </c>
    </row>
    <row r="461" spans="1:5" x14ac:dyDescent="0.3">
      <c r="A461" s="5" t="s">
        <v>463</v>
      </c>
      <c r="B461" s="6">
        <v>123316.65</v>
      </c>
      <c r="C461" s="6">
        <v>113040.27</v>
      </c>
      <c r="D461" s="9">
        <v>-6.9999999999999999E-4</v>
      </c>
      <c r="E461" s="8">
        <v>16743</v>
      </c>
    </row>
    <row r="462" spans="1:5" x14ac:dyDescent="0.3">
      <c r="A462" s="5" t="s">
        <v>464</v>
      </c>
      <c r="B462" s="6">
        <v>123328.4</v>
      </c>
      <c r="C462" s="6">
        <v>113051.03</v>
      </c>
      <c r="D462" s="10">
        <v>1E-4</v>
      </c>
      <c r="E462" s="8">
        <v>10905</v>
      </c>
    </row>
    <row r="463" spans="1:5" x14ac:dyDescent="0.3">
      <c r="A463" s="5" t="s">
        <v>465</v>
      </c>
      <c r="B463" s="6">
        <v>123368.27</v>
      </c>
      <c r="C463" s="6">
        <v>113087.58</v>
      </c>
      <c r="D463" s="10">
        <v>2.9999999999999997E-4</v>
      </c>
      <c r="E463" s="8">
        <v>31088</v>
      </c>
    </row>
    <row r="464" spans="1:5" x14ac:dyDescent="0.3">
      <c r="A464" s="5" t="s">
        <v>466</v>
      </c>
      <c r="B464" s="6">
        <v>124135.18</v>
      </c>
      <c r="C464" s="6">
        <v>113790.58</v>
      </c>
      <c r="D464" s="10">
        <v>6.1999999999999998E-3</v>
      </c>
      <c r="E464" s="8">
        <v>30187</v>
      </c>
    </row>
    <row r="465" spans="1:5" x14ac:dyDescent="0.3">
      <c r="A465" s="5" t="s">
        <v>467</v>
      </c>
      <c r="B465" s="6">
        <v>125091.3</v>
      </c>
      <c r="C465" s="6">
        <v>114667.02</v>
      </c>
      <c r="D465" s="10">
        <v>7.7000000000000002E-3</v>
      </c>
      <c r="E465" s="8">
        <v>19474</v>
      </c>
    </row>
    <row r="466" spans="1:5" x14ac:dyDescent="0.3">
      <c r="A466" s="5" t="s">
        <v>468</v>
      </c>
      <c r="B466" s="6">
        <v>127051.23</v>
      </c>
      <c r="C466" s="6">
        <v>116463.62</v>
      </c>
      <c r="D466" s="10">
        <v>1.5699999999999999E-2</v>
      </c>
      <c r="E466" s="8">
        <v>38449</v>
      </c>
    </row>
    <row r="467" spans="1:5" x14ac:dyDescent="0.3">
      <c r="A467" s="5" t="s">
        <v>469</v>
      </c>
      <c r="B467" s="6">
        <v>127512.02</v>
      </c>
      <c r="C467" s="6">
        <v>116886.02</v>
      </c>
      <c r="D467" s="10">
        <v>3.5999999999999999E-3</v>
      </c>
      <c r="E467" s="8">
        <v>39361</v>
      </c>
    </row>
    <row r="468" spans="1:5" x14ac:dyDescent="0.3">
      <c r="A468" s="5" t="s">
        <v>470</v>
      </c>
      <c r="B468" s="6">
        <v>129656.92</v>
      </c>
      <c r="C468" s="6">
        <v>118852.17</v>
      </c>
      <c r="D468" s="10">
        <v>1.6799999999999999E-2</v>
      </c>
      <c r="E468" s="8">
        <v>19945</v>
      </c>
    </row>
    <row r="469" spans="1:5" x14ac:dyDescent="0.3">
      <c r="A469" s="5" t="s">
        <v>471</v>
      </c>
      <c r="B469" s="6">
        <v>129219.95</v>
      </c>
      <c r="C469" s="6">
        <v>118451.63</v>
      </c>
      <c r="D469" s="9">
        <v>-3.3999999999999998E-3</v>
      </c>
      <c r="E469" s="8">
        <v>16837</v>
      </c>
    </row>
    <row r="470" spans="1:5" x14ac:dyDescent="0.3">
      <c r="A470" s="5" t="s">
        <v>472</v>
      </c>
      <c r="B470" s="6">
        <v>128842.83</v>
      </c>
      <c r="C470" s="6">
        <v>118105.93</v>
      </c>
      <c r="D470" s="9">
        <v>-2.8999999999999998E-3</v>
      </c>
      <c r="E470" s="8">
        <v>12135</v>
      </c>
    </row>
    <row r="471" spans="1:5" x14ac:dyDescent="0.3">
      <c r="A471" s="5" t="s">
        <v>473</v>
      </c>
      <c r="B471" s="6">
        <v>130006.72</v>
      </c>
      <c r="C471" s="6">
        <v>119172.82</v>
      </c>
      <c r="D471" s="10">
        <v>8.9999999999999993E-3</v>
      </c>
      <c r="E471" s="8">
        <v>37994</v>
      </c>
    </row>
    <row r="472" spans="1:5" x14ac:dyDescent="0.3">
      <c r="A472" s="5" t="s">
        <v>474</v>
      </c>
      <c r="B472" s="6">
        <v>130819.38</v>
      </c>
      <c r="C472" s="6">
        <v>119917.77</v>
      </c>
      <c r="D472" s="10">
        <v>6.3E-3</v>
      </c>
      <c r="E472" s="8">
        <v>10423</v>
      </c>
    </row>
    <row r="473" spans="1:5" x14ac:dyDescent="0.3">
      <c r="A473" s="5" t="s">
        <v>475</v>
      </c>
      <c r="B473" s="6">
        <v>131276.31</v>
      </c>
      <c r="C473" s="6">
        <v>120336.62</v>
      </c>
      <c r="D473" s="10">
        <v>3.5000000000000001E-3</v>
      </c>
      <c r="E473" s="8">
        <v>27231</v>
      </c>
    </row>
    <row r="474" spans="1:5" x14ac:dyDescent="0.3">
      <c r="A474" s="5" t="s">
        <v>476</v>
      </c>
      <c r="B474" s="6">
        <v>132169.85</v>
      </c>
      <c r="C474" s="6">
        <v>121155.69</v>
      </c>
      <c r="D474" s="10">
        <v>6.7999999999999996E-3</v>
      </c>
      <c r="E474" s="8">
        <v>21211</v>
      </c>
    </row>
    <row r="475" spans="1:5" x14ac:dyDescent="0.3">
      <c r="A475" s="5" t="s">
        <v>477</v>
      </c>
      <c r="B475" s="6">
        <v>135191.43</v>
      </c>
      <c r="C475" s="6">
        <v>123925.48</v>
      </c>
      <c r="D475" s="10">
        <v>2.29E-2</v>
      </c>
      <c r="E475" s="8">
        <v>10870</v>
      </c>
    </row>
    <row r="476" spans="1:5" x14ac:dyDescent="0.3">
      <c r="A476" s="5" t="s">
        <v>478</v>
      </c>
      <c r="B476" s="6">
        <v>138047.06</v>
      </c>
      <c r="C476" s="6">
        <v>126543.13</v>
      </c>
      <c r="D476" s="10">
        <v>2.1100000000000001E-2</v>
      </c>
      <c r="E476" s="8">
        <v>21072</v>
      </c>
    </row>
    <row r="477" spans="1:5" x14ac:dyDescent="0.3">
      <c r="A477" s="5" t="s">
        <v>479</v>
      </c>
      <c r="B477" s="6">
        <v>139267.59</v>
      </c>
      <c r="C477" s="6">
        <v>127661.95</v>
      </c>
      <c r="D477" s="10">
        <v>8.8000000000000005E-3</v>
      </c>
      <c r="E477" s="8">
        <v>10746</v>
      </c>
    </row>
    <row r="478" spans="1:5" x14ac:dyDescent="0.3">
      <c r="A478" s="5" t="s">
        <v>480</v>
      </c>
      <c r="B478" s="6">
        <v>140329.76</v>
      </c>
      <c r="C478" s="6">
        <v>128635.62</v>
      </c>
      <c r="D478" s="10">
        <v>7.6E-3</v>
      </c>
      <c r="E478" s="8">
        <v>28682</v>
      </c>
    </row>
    <row r="479" spans="1:5" x14ac:dyDescent="0.3">
      <c r="A479" s="5" t="s">
        <v>481</v>
      </c>
      <c r="B479" s="6">
        <v>142405.67000000001</v>
      </c>
      <c r="C479" s="6">
        <v>130538.53</v>
      </c>
      <c r="D479" s="10">
        <v>1.4800000000000001E-2</v>
      </c>
      <c r="E479" s="8">
        <v>28321</v>
      </c>
    </row>
    <row r="480" spans="1:5" x14ac:dyDescent="0.3">
      <c r="A480" s="5" t="s">
        <v>482</v>
      </c>
      <c r="B480" s="6">
        <v>146843.9</v>
      </c>
      <c r="C480" s="6">
        <v>134606.91</v>
      </c>
      <c r="D480" s="10">
        <v>3.1199999999999999E-2</v>
      </c>
      <c r="E480" s="8">
        <v>41776</v>
      </c>
    </row>
    <row r="481" spans="1:5" x14ac:dyDescent="0.3">
      <c r="A481" s="5" t="s">
        <v>483</v>
      </c>
      <c r="B481" s="6">
        <v>147924.01999999999</v>
      </c>
      <c r="C481" s="6">
        <v>135597.01999999999</v>
      </c>
      <c r="D481" s="10">
        <v>7.4000000000000003E-3</v>
      </c>
      <c r="E481" s="8">
        <v>34098</v>
      </c>
    </row>
    <row r="482" spans="1:5" x14ac:dyDescent="0.3">
      <c r="A482" s="5" t="s">
        <v>484</v>
      </c>
      <c r="B482" s="6">
        <v>150317.22</v>
      </c>
      <c r="C482" s="6">
        <v>137790.79</v>
      </c>
      <c r="D482" s="10">
        <v>1.6199999999999999E-2</v>
      </c>
      <c r="E482" s="8">
        <v>39024</v>
      </c>
    </row>
    <row r="483" spans="1:5" x14ac:dyDescent="0.3">
      <c r="A483" s="5" t="s">
        <v>485</v>
      </c>
      <c r="B483" s="6">
        <v>151871.14000000001</v>
      </c>
      <c r="C483" s="6">
        <v>139215.22</v>
      </c>
      <c r="D483" s="10">
        <v>1.03E-2</v>
      </c>
      <c r="E483" s="8">
        <v>24601</v>
      </c>
    </row>
    <row r="484" spans="1:5" x14ac:dyDescent="0.3">
      <c r="A484" s="5" t="s">
        <v>486</v>
      </c>
      <c r="B484" s="6">
        <v>152971.54</v>
      </c>
      <c r="C484" s="6">
        <v>140223.91</v>
      </c>
      <c r="D484" s="10">
        <v>7.1999999999999998E-3</v>
      </c>
      <c r="E484" s="8">
        <v>10399</v>
      </c>
    </row>
    <row r="485" spans="1:5" x14ac:dyDescent="0.3">
      <c r="A485" s="5" t="s">
        <v>487</v>
      </c>
      <c r="B485" s="6">
        <v>157106.1</v>
      </c>
      <c r="C485" s="6">
        <v>144013.93</v>
      </c>
      <c r="D485" s="10">
        <v>2.7E-2</v>
      </c>
      <c r="E485" s="8">
        <v>20524</v>
      </c>
    </row>
    <row r="486" spans="1:5" x14ac:dyDescent="0.3">
      <c r="A486" s="5" t="s">
        <v>488</v>
      </c>
      <c r="B486" s="6">
        <v>158496.32999999999</v>
      </c>
      <c r="C486" s="6">
        <v>145288.29999999999</v>
      </c>
      <c r="D486" s="10">
        <v>8.8000000000000005E-3</v>
      </c>
      <c r="E486" s="8">
        <v>26750</v>
      </c>
    </row>
    <row r="487" spans="1:5" x14ac:dyDescent="0.3">
      <c r="A487" s="5" t="s">
        <v>489</v>
      </c>
      <c r="B487" s="6">
        <v>160104.42000000001</v>
      </c>
      <c r="C487" s="6">
        <v>146762.39000000001</v>
      </c>
      <c r="D487" s="10">
        <v>1.01E-2</v>
      </c>
      <c r="E487" s="8">
        <v>31394</v>
      </c>
    </row>
    <row r="488" spans="1:5" x14ac:dyDescent="0.3">
      <c r="A488" s="5" t="s">
        <v>490</v>
      </c>
      <c r="B488" s="6">
        <v>163538.95000000001</v>
      </c>
      <c r="C488" s="6">
        <v>149910.70000000001</v>
      </c>
      <c r="D488" s="10">
        <v>2.1499999999999998E-2</v>
      </c>
      <c r="E488" s="8">
        <v>11132</v>
      </c>
    </row>
    <row r="489" spans="1:5" x14ac:dyDescent="0.3">
      <c r="A489" s="5" t="s">
        <v>491</v>
      </c>
      <c r="B489" s="6">
        <v>163618.73000000001</v>
      </c>
      <c r="C489" s="6">
        <v>149983.84</v>
      </c>
      <c r="D489" s="10">
        <v>5.0000000000000001E-4</v>
      </c>
      <c r="E489" s="8">
        <v>29753</v>
      </c>
    </row>
    <row r="490" spans="1:5" x14ac:dyDescent="0.3">
      <c r="A490" s="5" t="s">
        <v>492</v>
      </c>
      <c r="B490" s="6">
        <v>168265.47</v>
      </c>
      <c r="C490" s="6">
        <v>154243.35</v>
      </c>
      <c r="D490" s="10">
        <v>2.8400000000000002E-2</v>
      </c>
      <c r="E490" s="8">
        <v>25905</v>
      </c>
    </row>
    <row r="491" spans="1:5" x14ac:dyDescent="0.3">
      <c r="A491" s="5" t="s">
        <v>493</v>
      </c>
      <c r="B491" s="6">
        <v>169643.09</v>
      </c>
      <c r="C491" s="6">
        <v>155506.16</v>
      </c>
      <c r="D491" s="10">
        <v>8.2000000000000007E-3</v>
      </c>
      <c r="E491" s="8">
        <v>16157</v>
      </c>
    </row>
    <row r="492" spans="1:5" x14ac:dyDescent="0.3">
      <c r="A492" s="5" t="s">
        <v>494</v>
      </c>
      <c r="B492" s="6">
        <v>169792.38</v>
      </c>
      <c r="C492" s="6">
        <v>155643.01999999999</v>
      </c>
      <c r="D492" s="10">
        <v>8.9999999999999998E-4</v>
      </c>
      <c r="E492" s="8">
        <v>32118</v>
      </c>
    </row>
    <row r="493" spans="1:5" x14ac:dyDescent="0.3">
      <c r="A493" s="5" t="s">
        <v>495</v>
      </c>
      <c r="B493" s="6">
        <v>168892.7</v>
      </c>
      <c r="C493" s="6">
        <v>154818.31</v>
      </c>
      <c r="D493" s="9">
        <v>-5.3E-3</v>
      </c>
      <c r="E493" s="8">
        <v>36636</v>
      </c>
    </row>
    <row r="494" spans="1:5" x14ac:dyDescent="0.3">
      <c r="A494" s="5" t="s">
        <v>496</v>
      </c>
      <c r="B494" s="6">
        <v>166697.93</v>
      </c>
      <c r="C494" s="6">
        <v>152806.44</v>
      </c>
      <c r="D494" s="9">
        <v>-1.2999999999999999E-2</v>
      </c>
      <c r="E494" s="8">
        <v>34215</v>
      </c>
    </row>
    <row r="495" spans="1:5" x14ac:dyDescent="0.3">
      <c r="A495" s="5" t="s">
        <v>497</v>
      </c>
      <c r="B495" s="6">
        <v>164078.72</v>
      </c>
      <c r="C495" s="6">
        <v>150405.49</v>
      </c>
      <c r="D495" s="9">
        <v>-1.5699999999999999E-2</v>
      </c>
      <c r="E495" s="8">
        <v>36818</v>
      </c>
    </row>
    <row r="496" spans="1:5" x14ac:dyDescent="0.3">
      <c r="A496" s="5" t="s">
        <v>498</v>
      </c>
      <c r="B496" s="6">
        <v>162548.53</v>
      </c>
      <c r="C496" s="6">
        <v>149002.82</v>
      </c>
      <c r="D496" s="9">
        <v>-9.2999999999999992E-3</v>
      </c>
      <c r="E496" s="8">
        <v>33339</v>
      </c>
    </row>
    <row r="497" spans="1:5" x14ac:dyDescent="0.3">
      <c r="A497" s="5" t="s">
        <v>499</v>
      </c>
      <c r="B497" s="6">
        <v>160926.29999999999</v>
      </c>
      <c r="C497" s="6">
        <v>147515.76999999999</v>
      </c>
      <c r="D497" s="9">
        <v>-0.01</v>
      </c>
      <c r="E497" s="8">
        <v>30219</v>
      </c>
    </row>
    <row r="498" spans="1:5" x14ac:dyDescent="0.3">
      <c r="A498" s="5" t="s">
        <v>500</v>
      </c>
      <c r="B498" s="6">
        <v>159780.51</v>
      </c>
      <c r="C498" s="6">
        <v>146465.47</v>
      </c>
      <c r="D498" s="9">
        <v>-7.1000000000000004E-3</v>
      </c>
      <c r="E498" s="8">
        <v>20243</v>
      </c>
    </row>
    <row r="499" spans="1:5" x14ac:dyDescent="0.3">
      <c r="A499" s="5" t="s">
        <v>501</v>
      </c>
      <c r="B499" s="6">
        <v>159113.22</v>
      </c>
      <c r="C499" s="6">
        <v>145853.78</v>
      </c>
      <c r="D499" s="9">
        <v>-4.1999999999999997E-3</v>
      </c>
      <c r="E499" s="8">
        <v>40519</v>
      </c>
    </row>
    <row r="500" spans="1:5" x14ac:dyDescent="0.3">
      <c r="A500" s="5" t="s">
        <v>502</v>
      </c>
      <c r="B500" s="6">
        <v>157562.20000000001</v>
      </c>
      <c r="C500" s="6">
        <v>144432.01999999999</v>
      </c>
      <c r="D500" s="9">
        <v>-9.7000000000000003E-3</v>
      </c>
      <c r="E500" s="8">
        <v>40605</v>
      </c>
    </row>
    <row r="501" spans="1:5" x14ac:dyDescent="0.3">
      <c r="A501" s="5" t="s">
        <v>503</v>
      </c>
      <c r="B501" s="6">
        <v>158114.46</v>
      </c>
      <c r="C501" s="6">
        <v>144938.25</v>
      </c>
      <c r="D501" s="10">
        <v>3.5000000000000001E-3</v>
      </c>
      <c r="E501" s="8">
        <v>32074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20" customWidth="1"/>
  </cols>
  <sheetData>
    <row r="1" spans="1:5" ht="17.399999999999999" x14ac:dyDescent="0.3">
      <c r="A1" s="3" t="s">
        <v>504</v>
      </c>
      <c r="B1" s="3"/>
    </row>
    <row r="3" spans="1:5" x14ac:dyDescent="0.3">
      <c r="A3" s="11" t="s">
        <v>505</v>
      </c>
      <c r="B3" s="11" t="s">
        <v>506</v>
      </c>
    </row>
    <row r="4" spans="1:5" x14ac:dyDescent="0.3">
      <c r="A4" s="12" t="s">
        <v>507</v>
      </c>
      <c r="B4" s="13">
        <v>500</v>
      </c>
    </row>
    <row r="5" spans="1:5" x14ac:dyDescent="0.3">
      <c r="A5" s="12" t="s">
        <v>508</v>
      </c>
      <c r="B5" s="13" t="s">
        <v>4</v>
      </c>
    </row>
    <row r="6" spans="1:5" x14ac:dyDescent="0.3">
      <c r="A6" s="12" t="s">
        <v>509</v>
      </c>
      <c r="B6" s="13" t="s">
        <v>503</v>
      </c>
    </row>
    <row r="7" spans="1:5" x14ac:dyDescent="0.3">
      <c r="A7" s="12" t="s">
        <v>510</v>
      </c>
      <c r="B7" s="13" t="s">
        <v>511</v>
      </c>
    </row>
    <row r="8" spans="1:5" x14ac:dyDescent="0.3">
      <c r="A8" s="12" t="s">
        <v>512</v>
      </c>
      <c r="B8" s="14">
        <f>MIN('Gold Price Data'!B2:B501)</f>
        <v>45861.34</v>
      </c>
    </row>
    <row r="9" spans="1:5" x14ac:dyDescent="0.3">
      <c r="A9" s="12" t="s">
        <v>513</v>
      </c>
      <c r="B9" s="14">
        <f>MAX('Gold Price Data'!B2:B501)</f>
        <v>169792.38</v>
      </c>
    </row>
    <row r="10" spans="1:5" x14ac:dyDescent="0.3">
      <c r="A10" s="12" t="s">
        <v>514</v>
      </c>
      <c r="B10" s="14">
        <f>AVERAGE('Gold Price Data'!B2:B501)</f>
        <v>73709.078460000019</v>
      </c>
    </row>
    <row r="11" spans="1:5" x14ac:dyDescent="0.3">
      <c r="A11" s="12" t="s">
        <v>515</v>
      </c>
      <c r="B11" s="14">
        <f>AVERAGE('Gold Price Data'!E2:E501)</f>
        <v>25166.364000000001</v>
      </c>
    </row>
    <row r="13" spans="1:5" ht="15.6" x14ac:dyDescent="0.3">
      <c r="A13" s="15" t="s">
        <v>516</v>
      </c>
    </row>
    <row r="14" spans="1:5" x14ac:dyDescent="0.3">
      <c r="A14" s="2" t="s">
        <v>517</v>
      </c>
      <c r="B14" s="2"/>
      <c r="C14" s="2"/>
      <c r="D14" s="2"/>
      <c r="E14" s="2"/>
    </row>
    <row r="15" spans="1:5" x14ac:dyDescent="0.3">
      <c r="A15" s="2" t="s">
        <v>518</v>
      </c>
      <c r="B15" s="2"/>
      <c r="C15" s="2"/>
      <c r="D15" s="2"/>
      <c r="E15" s="2"/>
    </row>
    <row r="16" spans="1:5" x14ac:dyDescent="0.3">
      <c r="A16" s="1" t="s">
        <v>519</v>
      </c>
      <c r="B16" s="1"/>
      <c r="C16" s="1"/>
      <c r="D16" s="1"/>
      <c r="E16" s="1"/>
    </row>
    <row r="17" spans="1:5" x14ac:dyDescent="0.3">
      <c r="A17" s="1" t="s">
        <v>520</v>
      </c>
      <c r="B17" s="1"/>
      <c r="C17" s="1"/>
      <c r="D17" s="1"/>
      <c r="E17" s="1"/>
    </row>
    <row r="18" spans="1:5" x14ac:dyDescent="0.3">
      <c r="A18" s="1" t="s">
        <v>521</v>
      </c>
      <c r="B18" s="1"/>
      <c r="C18" s="1"/>
      <c r="D18" s="1"/>
      <c r="E18" s="1"/>
    </row>
    <row r="19" spans="1:5" x14ac:dyDescent="0.3">
      <c r="A19" s="1" t="s">
        <v>522</v>
      </c>
      <c r="B19" s="1"/>
      <c r="C19" s="1"/>
      <c r="D19" s="1"/>
      <c r="E19" s="1"/>
    </row>
    <row r="20" spans="1:5" x14ac:dyDescent="0.3">
      <c r="A20" s="1" t="s">
        <v>523</v>
      </c>
      <c r="B20" s="1"/>
      <c r="C20" s="1"/>
      <c r="D20" s="1"/>
      <c r="E20" s="1"/>
    </row>
    <row r="21" spans="1:5" x14ac:dyDescent="0.3">
      <c r="A21" s="1" t="s">
        <v>524</v>
      </c>
      <c r="B21" s="1"/>
      <c r="C21" s="1"/>
      <c r="D21" s="1"/>
      <c r="E21" s="1"/>
    </row>
    <row r="22" spans="1:5" x14ac:dyDescent="0.3">
      <c r="A22" s="1" t="s">
        <v>525</v>
      </c>
      <c r="B22" s="1"/>
      <c r="C22" s="1"/>
      <c r="D22" s="1"/>
      <c r="E22" s="1"/>
    </row>
  </sheetData>
  <mergeCells count="10">
    <mergeCell ref="A18:E18"/>
    <mergeCell ref="A19:E19"/>
    <mergeCell ref="A20:E20"/>
    <mergeCell ref="A21:E21"/>
    <mergeCell ref="A22:E22"/>
    <mergeCell ref="A1:B1"/>
    <mergeCell ref="A14:E14"/>
    <mergeCell ref="A15:E15"/>
    <mergeCell ref="A16:E16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 Price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sundharrajan s</cp:lastModifiedBy>
  <cp:revision>0</cp:revision>
  <dcterms:created xsi:type="dcterms:W3CDTF">2026-06-25T09:37:11Z</dcterms:created>
  <dcterms:modified xsi:type="dcterms:W3CDTF">2026-06-25T09:43:38Z</dcterms:modified>
  <dc:language>en-US</dc:language>
</cp:coreProperties>
</file>